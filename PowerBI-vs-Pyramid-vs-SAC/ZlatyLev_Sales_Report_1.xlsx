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haelTenner\Desktop\"/>
    </mc:Choice>
  </mc:AlternateContent>
  <xr:revisionPtr revIDLastSave="0" documentId="8_{D97F5E10-6B55-4040-B830-3BED9901466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les 2023" sheetId="1" r:id="rId1"/>
    <sheet name="Sales 2024" sheetId="2" r:id="rId2"/>
    <sheet name="Sales 2025" sheetId="3" r:id="rId3"/>
    <sheet name="Sales 2026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5" i="4" l="1"/>
  <c r="E33" i="4"/>
  <c r="E36" i="4" s="1"/>
  <c r="C33" i="4"/>
  <c r="C36" i="4" s="1"/>
  <c r="M31" i="4"/>
  <c r="L31" i="4"/>
  <c r="K31" i="4"/>
  <c r="J31" i="4"/>
  <c r="I31" i="4"/>
  <c r="H31" i="4"/>
  <c r="H33" i="4" s="1"/>
  <c r="H36" i="4" s="1"/>
  <c r="G31" i="4"/>
  <c r="F31" i="4"/>
  <c r="F33" i="4" s="1"/>
  <c r="F36" i="4" s="1"/>
  <c r="E31" i="4"/>
  <c r="D31" i="4"/>
  <c r="C31" i="4"/>
  <c r="B31" i="4"/>
  <c r="N31" i="4" s="1"/>
  <c r="N30" i="4"/>
  <c r="N29" i="4"/>
  <c r="M26" i="4"/>
  <c r="L26" i="4"/>
  <c r="K26" i="4"/>
  <c r="J26" i="4"/>
  <c r="J33" i="4" s="1"/>
  <c r="J36" i="4" s="1"/>
  <c r="I26" i="4"/>
  <c r="I33" i="4" s="1"/>
  <c r="I36" i="4" s="1"/>
  <c r="H26" i="4"/>
  <c r="G26" i="4"/>
  <c r="G33" i="4" s="1"/>
  <c r="G36" i="4" s="1"/>
  <c r="F26" i="4"/>
  <c r="E26" i="4"/>
  <c r="D26" i="4"/>
  <c r="C26" i="4"/>
  <c r="B26" i="4"/>
  <c r="N26" i="4" s="1"/>
  <c r="N25" i="4"/>
  <c r="N24" i="4"/>
  <c r="N23" i="4"/>
  <c r="M20" i="4"/>
  <c r="L20" i="4"/>
  <c r="L33" i="4" s="1"/>
  <c r="L36" i="4" s="1"/>
  <c r="K20" i="4"/>
  <c r="K33" i="4" s="1"/>
  <c r="K36" i="4" s="1"/>
  <c r="J20" i="4"/>
  <c r="I20" i="4"/>
  <c r="H20" i="4"/>
  <c r="G20" i="4"/>
  <c r="F20" i="4"/>
  <c r="E20" i="4"/>
  <c r="D20" i="4"/>
  <c r="C20" i="4"/>
  <c r="B20" i="4"/>
  <c r="N20" i="4" s="1"/>
  <c r="N19" i="4"/>
  <c r="N18" i="4"/>
  <c r="M15" i="4"/>
  <c r="M33" i="4" s="1"/>
  <c r="M36" i="4" s="1"/>
  <c r="L15" i="4"/>
  <c r="K15" i="4"/>
  <c r="J15" i="4"/>
  <c r="I15" i="4"/>
  <c r="H15" i="4"/>
  <c r="G15" i="4"/>
  <c r="F15" i="4"/>
  <c r="E15" i="4"/>
  <c r="D15" i="4"/>
  <c r="D33" i="4" s="1"/>
  <c r="D36" i="4" s="1"/>
  <c r="C15" i="4"/>
  <c r="B15" i="4"/>
  <c r="N15" i="4" s="1"/>
  <c r="N14" i="4"/>
  <c r="N13" i="4"/>
  <c r="N12" i="4"/>
  <c r="N35" i="3"/>
  <c r="J33" i="3"/>
  <c r="J36" i="3" s="1"/>
  <c r="H33" i="3"/>
  <c r="H36" i="3" s="1"/>
  <c r="M31" i="3"/>
  <c r="L31" i="3"/>
  <c r="K31" i="3"/>
  <c r="K33" i="3" s="1"/>
  <c r="K36" i="3" s="1"/>
  <c r="J31" i="3"/>
  <c r="I31" i="3"/>
  <c r="H31" i="3"/>
  <c r="G31" i="3"/>
  <c r="F31" i="3"/>
  <c r="E31" i="3"/>
  <c r="D31" i="3"/>
  <c r="C31" i="3"/>
  <c r="B31" i="3"/>
  <c r="N31" i="3" s="1"/>
  <c r="N30" i="3"/>
  <c r="N29" i="3"/>
  <c r="M26" i="3"/>
  <c r="M33" i="3" s="1"/>
  <c r="M36" i="3" s="1"/>
  <c r="L26" i="3"/>
  <c r="L33" i="3" s="1"/>
  <c r="L36" i="3" s="1"/>
  <c r="K26" i="3"/>
  <c r="J26" i="3"/>
  <c r="I26" i="3"/>
  <c r="H26" i="3"/>
  <c r="G26" i="3"/>
  <c r="F26" i="3"/>
  <c r="E26" i="3"/>
  <c r="D26" i="3"/>
  <c r="C26" i="3"/>
  <c r="C33" i="3" s="1"/>
  <c r="C36" i="3" s="1"/>
  <c r="B26" i="3"/>
  <c r="B33" i="3" s="1"/>
  <c r="N25" i="3"/>
  <c r="N24" i="3"/>
  <c r="N23" i="3"/>
  <c r="M20" i="3"/>
  <c r="L20" i="3"/>
  <c r="K20" i="3"/>
  <c r="J20" i="3"/>
  <c r="I20" i="3"/>
  <c r="H20" i="3"/>
  <c r="G20" i="3"/>
  <c r="F20" i="3"/>
  <c r="E20" i="3"/>
  <c r="E33" i="3" s="1"/>
  <c r="E36" i="3" s="1"/>
  <c r="D20" i="3"/>
  <c r="D33" i="3" s="1"/>
  <c r="D36" i="3" s="1"/>
  <c r="C20" i="3"/>
  <c r="B20" i="3"/>
  <c r="N20" i="3" s="1"/>
  <c r="N19" i="3"/>
  <c r="N18" i="3"/>
  <c r="M15" i="3"/>
  <c r="L15" i="3"/>
  <c r="K15" i="3"/>
  <c r="J15" i="3"/>
  <c r="I15" i="3"/>
  <c r="I33" i="3" s="1"/>
  <c r="I36" i="3" s="1"/>
  <c r="H15" i="3"/>
  <c r="G15" i="3"/>
  <c r="G33" i="3" s="1"/>
  <c r="G36" i="3" s="1"/>
  <c r="F15" i="3"/>
  <c r="F33" i="3" s="1"/>
  <c r="F36" i="3" s="1"/>
  <c r="E15" i="3"/>
  <c r="D15" i="3"/>
  <c r="C15" i="3"/>
  <c r="B15" i="3"/>
  <c r="N15" i="3" s="1"/>
  <c r="N14" i="3"/>
  <c r="N13" i="3"/>
  <c r="N12" i="3"/>
  <c r="N35" i="2"/>
  <c r="M33" i="2"/>
  <c r="M36" i="2" s="1"/>
  <c r="C33" i="2"/>
  <c r="C36" i="2" s="1"/>
  <c r="M31" i="2"/>
  <c r="L31" i="2"/>
  <c r="K31" i="2"/>
  <c r="J31" i="2"/>
  <c r="I31" i="2"/>
  <c r="H31" i="2"/>
  <c r="G31" i="2"/>
  <c r="F31" i="2"/>
  <c r="E31" i="2"/>
  <c r="D31" i="2"/>
  <c r="D33" i="2" s="1"/>
  <c r="D36" i="2" s="1"/>
  <c r="C31" i="2"/>
  <c r="B31" i="2"/>
  <c r="N31" i="2" s="1"/>
  <c r="N30" i="2"/>
  <c r="N29" i="2"/>
  <c r="M26" i="2"/>
  <c r="L26" i="2"/>
  <c r="K26" i="2"/>
  <c r="J26" i="2"/>
  <c r="I26" i="2"/>
  <c r="H26" i="2"/>
  <c r="H33" i="2" s="1"/>
  <c r="H36" i="2" s="1"/>
  <c r="G26" i="2"/>
  <c r="G33" i="2" s="1"/>
  <c r="G36" i="2" s="1"/>
  <c r="F26" i="2"/>
  <c r="F33" i="2" s="1"/>
  <c r="F36" i="2" s="1"/>
  <c r="E26" i="2"/>
  <c r="E33" i="2" s="1"/>
  <c r="E36" i="2" s="1"/>
  <c r="D26" i="2"/>
  <c r="C26" i="2"/>
  <c r="B26" i="2"/>
  <c r="N26" i="2" s="1"/>
  <c r="N25" i="2"/>
  <c r="N24" i="2"/>
  <c r="N23" i="2"/>
  <c r="M20" i="2"/>
  <c r="L20" i="2"/>
  <c r="K20" i="2"/>
  <c r="J20" i="2"/>
  <c r="J33" i="2" s="1"/>
  <c r="J36" i="2" s="1"/>
  <c r="I20" i="2"/>
  <c r="I33" i="2" s="1"/>
  <c r="I36" i="2" s="1"/>
  <c r="H20" i="2"/>
  <c r="G20" i="2"/>
  <c r="F20" i="2"/>
  <c r="E20" i="2"/>
  <c r="D20" i="2"/>
  <c r="C20" i="2"/>
  <c r="B20" i="2"/>
  <c r="N20" i="2" s="1"/>
  <c r="N19" i="2"/>
  <c r="N18" i="2"/>
  <c r="M15" i="2"/>
  <c r="L15" i="2"/>
  <c r="L33" i="2" s="1"/>
  <c r="L36" i="2" s="1"/>
  <c r="K15" i="2"/>
  <c r="K33" i="2" s="1"/>
  <c r="K36" i="2" s="1"/>
  <c r="J15" i="2"/>
  <c r="I15" i="2"/>
  <c r="H15" i="2"/>
  <c r="G15" i="2"/>
  <c r="F15" i="2"/>
  <c r="E15" i="2"/>
  <c r="D15" i="2"/>
  <c r="C15" i="2"/>
  <c r="B15" i="2"/>
  <c r="B33" i="2" s="1"/>
  <c r="N14" i="2"/>
  <c r="N13" i="2"/>
  <c r="N12" i="2"/>
  <c r="N35" i="1"/>
  <c r="H33" i="1"/>
  <c r="H36" i="1" s="1"/>
  <c r="F33" i="1"/>
  <c r="F36" i="1" s="1"/>
  <c r="M31" i="1"/>
  <c r="L31" i="1"/>
  <c r="K31" i="1"/>
  <c r="J31" i="1"/>
  <c r="I31" i="1"/>
  <c r="I33" i="1" s="1"/>
  <c r="I36" i="1" s="1"/>
  <c r="H31" i="1"/>
  <c r="G31" i="1"/>
  <c r="F31" i="1"/>
  <c r="E31" i="1"/>
  <c r="D31" i="1"/>
  <c r="C31" i="1"/>
  <c r="B31" i="1"/>
  <c r="N31" i="1" s="1"/>
  <c r="N30" i="1"/>
  <c r="N29" i="1"/>
  <c r="M26" i="1"/>
  <c r="M33" i="1" s="1"/>
  <c r="M36" i="1" s="1"/>
  <c r="L26" i="1"/>
  <c r="L33" i="1" s="1"/>
  <c r="L36" i="1" s="1"/>
  <c r="K26" i="1"/>
  <c r="K33" i="1" s="1"/>
  <c r="K36" i="1" s="1"/>
  <c r="J26" i="1"/>
  <c r="J33" i="1" s="1"/>
  <c r="J36" i="1" s="1"/>
  <c r="I26" i="1"/>
  <c r="H26" i="1"/>
  <c r="G26" i="1"/>
  <c r="F26" i="1"/>
  <c r="E26" i="1"/>
  <c r="D26" i="1"/>
  <c r="C26" i="1"/>
  <c r="B26" i="1"/>
  <c r="N26" i="1" s="1"/>
  <c r="N25" i="1"/>
  <c r="N24" i="1"/>
  <c r="N23" i="1"/>
  <c r="M20" i="1"/>
  <c r="L20" i="1"/>
  <c r="K20" i="1"/>
  <c r="J20" i="1"/>
  <c r="I20" i="1"/>
  <c r="H20" i="1"/>
  <c r="G20" i="1"/>
  <c r="F20" i="1"/>
  <c r="E20" i="1"/>
  <c r="D20" i="1"/>
  <c r="C20" i="1"/>
  <c r="C33" i="1" s="1"/>
  <c r="C36" i="1" s="1"/>
  <c r="B20" i="1"/>
  <c r="N20" i="1" s="1"/>
  <c r="N19" i="1"/>
  <c r="N18" i="1"/>
  <c r="M15" i="1"/>
  <c r="L15" i="1"/>
  <c r="K15" i="1"/>
  <c r="J15" i="1"/>
  <c r="I15" i="1"/>
  <c r="H15" i="1"/>
  <c r="G15" i="1"/>
  <c r="G33" i="1" s="1"/>
  <c r="G36" i="1" s="1"/>
  <c r="F15" i="1"/>
  <c r="E15" i="1"/>
  <c r="E33" i="1" s="1"/>
  <c r="E36" i="1" s="1"/>
  <c r="D15" i="1"/>
  <c r="D33" i="1" s="1"/>
  <c r="D36" i="1" s="1"/>
  <c r="C15" i="1"/>
  <c r="B15" i="1"/>
  <c r="N15" i="1" s="1"/>
  <c r="N14" i="1"/>
  <c r="N13" i="1"/>
  <c r="N12" i="1"/>
  <c r="N33" i="2" l="1"/>
  <c r="N36" i="2" s="1"/>
  <c r="B36" i="2"/>
  <c r="B36" i="3"/>
  <c r="N33" i="3"/>
  <c r="N36" i="3" s="1"/>
  <c r="B33" i="1"/>
  <c r="N15" i="2"/>
  <c r="N26" i="3"/>
  <c r="B33" i="4"/>
  <c r="B36" i="4" l="1"/>
  <c r="N33" i="4"/>
  <c r="N36" i="4" s="1"/>
  <c r="N33" i="1"/>
  <c r="N36" i="1" s="1"/>
  <c r="B36" i="1"/>
</calcChain>
</file>

<file path=xl/sharedStrings.xml><?xml version="1.0" encoding="utf-8"?>
<sst xmlns="http://schemas.openxmlformats.org/spreadsheetml/2006/main" count="200" uniqueCount="76">
  <si>
    <t>ZLATÝ LEV BREWERY a.s.</t>
  </si>
  <si>
    <t>Prague – Smíchov   ·   Reg. No. 12345678   ·   Brewing since 1882</t>
  </si>
  <si>
    <t>Annual Sales Report   —   2023</t>
  </si>
  <si>
    <t>Volume by product and month  (hectoliters, hl)</t>
  </si>
  <si>
    <t>Product</t>
  </si>
  <si>
    <t>2023</t>
  </si>
  <si>
    <t>Total
2023
(hl)</t>
  </si>
  <si>
    <t>Q1</t>
  </si>
  <si>
    <t>Q2</t>
  </si>
  <si>
    <t>Q3</t>
  </si>
  <si>
    <t>Q4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</si>
  <si>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</si>
  <si>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</si>
  <si>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</si>
  <si>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</si>
  <si>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</si>
  <si>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</si>
  <si>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</si>
  <si>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</si>
  <si>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</si>
  <si>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</si>
  <si>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</si>
  <si>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</si>
  <si>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PALE LAGERS</t>
  </si>
  <si>
    <t xml:space="preserve">       Zlatý Lev 10°  —  Desítka</t>
  </si>
  <si>
    <t xml:space="preserve">       Zlatý Lev 12°  —  Dvanáctka</t>
  </si>
  <si>
    <t xml:space="preserve">       Praha Premium 13°</t>
  </si>
  <si>
    <t xml:space="preserve">       Subtotal  PALE LAGERS</t>
  </si>
  <si>
    <t xml:space="preserve">  DARK LAGERS</t>
  </si>
  <si>
    <t xml:space="preserve">       Černý Lev 11°</t>
  </si>
  <si>
    <t xml:space="preserve">       Vyšehrad Tmavý 13°</t>
  </si>
  <si>
    <t xml:space="preserve">       Subtotal  DARK LAGERS</t>
  </si>
  <si>
    <t xml:space="preserve">  SPECIALTY</t>
  </si>
  <si>
    <t xml:space="preserve">       Karlův IPA</t>
  </si>
  <si>
    <t xml:space="preserve">       Vltava Pšenice (wheat)</t>
  </si>
  <si>
    <t xml:space="preserve">       Anniversary 1882 (limited ed.)</t>
  </si>
  <si>
    <t xml:space="preserve">       Subtotal  SPECIALTY</t>
  </si>
  <si>
    <t xml:space="preserve">  NON-ALCOHOLIC</t>
  </si>
  <si>
    <t xml:space="preserve">       Lev Free</t>
  </si>
  <si>
    <t xml:space="preserve">       Lev Citrón Radler</t>
  </si>
  <si>
    <t xml:space="preserve">       Subtotal  NON-ALCOHOLIC</t>
  </si>
  <si>
    <t xml:space="preserve">  GRAND TOTAL</t>
  </si>
  <si>
    <t xml:space="preserve">       TARGET (Plan)</t>
  </si>
  <si>
    <t xml:space="preserve">       Variance vs. Target</t>
  </si>
  <si>
    <t>Notes:</t>
  </si>
  <si>
    <t>·  Volumes are for the Smíchov brewery only. Exports tracked separately in Exports_2023.xlsx.</t>
  </si>
  <si>
    <t>·  No anniversary edition in 2023 — launched in 2024.</t>
  </si>
  <si>
    <t>·  Karlův IPA recipe was reformulated in March 2023 (new hop blend), see R&amp;D notes.</t>
  </si>
  <si>
    <t>·  Prepared by: J. Nováková (Sales Controlling).   Closed on 19 Jan 2024.</t>
  </si>
  <si>
    <t>Annual Sales Report   —   2024</t>
  </si>
  <si>
    <t>2024</t>
  </si>
  <si>
    <t>Total
2024
(hl)</t>
  </si>
  <si>
    <t>·  Volumes are for the Smíchov brewery only. Exports to SK/DE/AT are tracked in a separate workbook (Exports_2024.xlsx).</t>
  </si>
  <si>
    <t>·  "Anniversary 1882" is a limited edition launched on 1 April 2024 to celebrate the brewery anniversary — see marketing folder.</t>
  </si>
  <si>
    <t>·  Q3 wheat-beer numbers include the Vltava Summer Festival promo (3 weeks, July).</t>
  </si>
  <si>
    <t>·  December 2024 figures were preliminary at year-end — reconciled with warehouse on 22 Jan 2025.</t>
  </si>
  <si>
    <t>·  Prepared by: J. Nováková (Sales Controlling).   Closed on 14 Jan 2025.</t>
  </si>
  <si>
    <t>Annual Sales Report   —   2025</t>
  </si>
  <si>
    <t>2025</t>
  </si>
  <si>
    <t>Total
2025
(hl)</t>
  </si>
  <si>
    <t xml:space="preserve">       Smíchov Hazy IPA (NEW)</t>
  </si>
  <si>
    <t>·  Volumes are for the Smíchov brewery only. Exports tracked in Exports_2025.xlsx.</t>
  </si>
  <si>
    <t>·  "Anniversary 1882" was a one-off limited edition for the 2024 anniversary — DISCONTINUED, row removed.</t>
  </si>
  <si>
    <t>·  NEW: "Smíchov Hazy IPA" launched 12 May 2025 — first hazy beer in the portfolio.</t>
  </si>
  <si>
    <t>·  Q3 wheat-beer numbers include the Vltava Summer Festival promo (4 weeks, July).</t>
  </si>
  <si>
    <t>·  Prepared by: J. Nováková (Sales Controlling).   Closed on 17 Jan 2026.</t>
  </si>
  <si>
    <t>Annual Sales Report   —   2026</t>
  </si>
  <si>
    <t>2026</t>
  </si>
  <si>
    <t>Total
2026
(hl)</t>
  </si>
  <si>
    <t xml:space="preserve">       Smíchov Hazy IPA</t>
  </si>
  <si>
    <t>·  ⚠  YEAR-TO-DATE THROUGH MAY 2026 — June through December not yet booked.</t>
  </si>
  <si>
    <t>·  Variance vs. Target for Jun–Dec is meaningless until actuals are entered (full-year plan shown).</t>
  </si>
  <si>
    <t>·  Volumes for the Smíchov brewery only. Exports in Exports_2026.xlsx.</t>
  </si>
  <si>
    <t>·  Smíchov Hazy IPA continuing strong after its May 2025 launch — full-month sales from Jan.</t>
  </si>
  <si>
    <t>·  April 2026 figures include the Easter promotion (3 weeks).</t>
  </si>
  <si>
    <t>·  Prepared by: J. Nováková (Sales Controlling).   Last update: 14 May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</si>
</sst>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\-"/>
    <numFmt numFmtId="165" formatCode="\+#,##0;\-#,##0;\-"/>
  </numFmts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4"/>
      <color rgb="FF4A2C0F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b/>
      <i/>
      <sz val="10"/>
      <color rgb="FF666666"/>
      <name val="Arial"/>
      <charset val="1"/>
    </font>
    <font>
      <i/>
      <sz val="10"/>
      <color rgb="FF000000"/>
      <name val="Arial"/>
      <charset val="1"/>
    </font>
    <font>
      <b/>
      <sz val="10"/>
      <color rgb="FF4A2C0F"/>
      <name val="Arial"/>
      <charset val="1"/>
    </font>
    <font>
      <i/>
      <sz val="9"/>
      <color rgb="FF555555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4A2C0F"/>
        <bgColor rgb="FF6B3410"/>
      </patternFill>
    </fill>
    <fill>
      <patternFill patternType="solid">
        <fgColor rgb="FFB8860B"/>
        <bgColor rgb="FFFF6600"/>
      </patternFill>
    </fill>
    <fill>
      <patternFill patternType="solid">
        <fgColor rgb="FFF5EFE0"/>
        <bgColor rgb="FFFFF2CC"/>
      </patternFill>
    </fill>
    <fill>
      <patternFill patternType="solid">
        <fgColor rgb="FF6B3410"/>
        <bgColor rgb="FF4A2C0F"/>
      </patternFill>
    </fill>
    <fill>
      <patternFill patternType="solid">
        <fgColor rgb="FF8B4513"/>
        <bgColor rgb="FF6B3410"/>
      </patternFill>
    </fill>
    <fill>
      <patternFill patternType="solid">
        <fgColor rgb="FF5C7A29"/>
        <bgColor rgb="FF666666"/>
      </patternFill>
    </fill>
    <fill>
      <patternFill patternType="solid">
        <fgColor rgb="FFFFF2CC"/>
        <bgColor rgb="FFF5E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4" fillId="0" borderId="0" xfId="0" applyFont="1" applyAlignment="1">
      <alignment horizontal="left" vertical="center" wrapText="1"/>
    </xf>
    <xf numFmtId="0" fontId="13" fillId="0" borderId="0" xfId="0" applyFont="1"/>
    <xf numFmtId="0" fontId="5" fillId="7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3" fontId="9" fillId="4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left" vertical="center"/>
    </xf>
    <xf numFmtId="3" fontId="10" fillId="4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 indent="1"/>
    </xf>
    <xf numFmtId="3" fontId="5" fillId="2" borderId="0" xfId="0" applyNumberFormat="1" applyFont="1" applyFill="1" applyAlignment="1">
      <alignment horizontal="right" vertical="center"/>
    </xf>
    <xf numFmtId="0" fontId="11" fillId="8" borderId="0" xfId="0" applyFont="1" applyFill="1" applyAlignment="1">
      <alignment horizontal="left" vertical="center"/>
    </xf>
    <xf numFmtId="3" fontId="4" fillId="8" borderId="0" xfId="0" applyNumberFormat="1" applyFont="1" applyFill="1" applyAlignment="1">
      <alignment horizontal="right" vertical="center"/>
    </xf>
    <xf numFmtId="3" fontId="11" fillId="8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C7A29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5E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8860B"/>
      <rgbColor rgb="FFFF6600"/>
      <rgbColor rgb="FF666666"/>
      <rgbColor rgb="FF969696"/>
      <rgbColor rgb="FF003366"/>
      <rgbColor rgb="FF339966"/>
      <rgbColor rgb="FF003300"/>
      <rgbColor rgb="FF4A2C0F"/>
      <rgbColor rgb="FF8B4513"/>
      <rgbColor rgb="FF993366"/>
      <rgbColor rgb="FF555555"/>
      <rgbColor rgb="FF6B341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showGridLines="0" tabSelected="1" zoomScaleNormal="100" workbookViewId="0">
      <pane xSplit="1" ySplit="9" topLeftCell="B15" activePane="bottomRight" state="frozen"/>
      <selection pane="topRight" activeCell="B1" sqref="B1"/>
      <selection pane="bottomLeft" activeCell="A10" sqref="A10"/>
      <selection pane="bottomRight" sqref="A1:N1"/>
    </sheetView>
  </sheetViews>
  <sheetFormatPr baseColWidth="10" defaultColWidth="8.6328125" defaultRowHeight="14.5" x14ac:dyDescent="0.35"/>
  <cols>
    <col min="1" max="1" width="36" customWidth="1"/>
    <col min="2" max="13" width="9" customWidth="1"/>
    <col min="14" max="14" width="12" customWidth="1"/>
  </cols>
  <sheetData>
    <row r="1" spans="1:14" ht="33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8" x14ac:dyDescent="0.3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35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7" spans="1:14" ht="21.75" customHeight="1" x14ac:dyDescent="0.35">
      <c r="A7" s="10" t="s">
        <v>4</v>
      </c>
      <c r="B7" s="9" t="s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8" t="s">
        <v>6</v>
      </c>
    </row>
    <row r="8" spans="1:14" ht="19.5" customHeight="1" x14ac:dyDescent="0.35">
      <c r="A8" s="10"/>
      <c r="B8" s="7" t="s">
        <v>7</v>
      </c>
      <c r="C8" s="7"/>
      <c r="D8" s="7"/>
      <c r="E8" s="7" t="s">
        <v>8</v>
      </c>
      <c r="F8" s="7"/>
      <c r="G8" s="7"/>
      <c r="H8" s="7" t="s">
        <v>9</v>
      </c>
      <c r="I8" s="7"/>
      <c r="J8" s="7"/>
      <c r="K8" s="7" t="s">
        <v>10</v>
      </c>
      <c r="L8" s="7"/>
      <c r="M8" s="7"/>
      <c r="N8" s="8"/>
    </row>
    <row r="9" spans="1:14" ht="19.5" customHeight="1" x14ac:dyDescent="0.35">
      <c r="A9" s="10"/>
      <c r="B9" s="15" t="s">
        <v>11</v>
      </c>
      <c r="C9" s="15" t="s">
        <v>12</v>
      </c>
      <c r="D9" s="15" t="s">
        <v>13</v>
      </c>
      <c r="E9" s="15" t="s">
        <v>14</v>
      </c>
      <c r="F9" s="15" t="s">
        <v>15</v>
      </c>
      <c r="G9" s="15" t="s">
        <v>16</v>
      </c>
      <c r="H9" s="15" t="s">
        <v>17</v>
      </c>
      <c r="I9" s="15" t="s">
        <v>18</v>
      </c>
      <c r="J9" s="15" t="s">
        <v>19</v>
      </c>
      <c r="K9" s="15" t="s">
        <v>20</v>
      </c>
      <c r="L9" s="15" t="s">
        <v>21</v>
      </c>
      <c r="M9" s="15" t="s">
        <v>22</v>
      </c>
      <c r="N9" s="8"/>
    </row>
    <row r="11" spans="1:14" ht="21.75" customHeight="1" x14ac:dyDescent="0.35">
      <c r="A11" s="6" t="s">
        <v>23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5">
      <c r="A12" s="16" t="s">
        <v>24</v>
      </c>
      <c r="B12" s="17">
        <v>1980</v>
      </c>
      <c r="C12" s="17">
        <v>1900</v>
      </c>
      <c r="D12" s="17">
        <v>2250</v>
      </c>
      <c r="E12" s="17">
        <v>2540</v>
      </c>
      <c r="F12" s="17">
        <v>2920</v>
      </c>
      <c r="G12" s="17">
        <v>3120</v>
      </c>
      <c r="H12" s="17">
        <v>3260</v>
      </c>
      <c r="I12" s="17">
        <v>3220</v>
      </c>
      <c r="J12" s="17">
        <v>2740</v>
      </c>
      <c r="K12" s="17">
        <v>2470</v>
      </c>
      <c r="L12" s="17">
        <v>2280</v>
      </c>
      <c r="M12" s="17">
        <v>2810</v>
      </c>
      <c r="N12" s="18">
        <f>SUM(B12:M12)</f>
        <v>31490</v>
      </c>
    </row>
    <row r="13" spans="1:14" x14ac:dyDescent="0.35">
      <c r="A13" s="16" t="s">
        <v>25</v>
      </c>
      <c r="B13" s="17">
        <v>1600</v>
      </c>
      <c r="C13" s="17">
        <v>1530</v>
      </c>
      <c r="D13" s="17">
        <v>1730</v>
      </c>
      <c r="E13" s="17">
        <v>1920</v>
      </c>
      <c r="F13" s="17">
        <v>2160</v>
      </c>
      <c r="G13" s="17">
        <v>2270</v>
      </c>
      <c r="H13" s="17">
        <v>2360</v>
      </c>
      <c r="I13" s="17">
        <v>2310</v>
      </c>
      <c r="J13" s="17">
        <v>2030</v>
      </c>
      <c r="K13" s="17">
        <v>1930</v>
      </c>
      <c r="L13" s="17">
        <v>1840</v>
      </c>
      <c r="M13" s="17">
        <v>2270</v>
      </c>
      <c r="N13" s="18">
        <f>SUM(B13:M13)</f>
        <v>23950</v>
      </c>
    </row>
    <row r="14" spans="1:14" x14ac:dyDescent="0.35">
      <c r="A14" s="16" t="s">
        <v>26</v>
      </c>
      <c r="B14" s="17">
        <v>790</v>
      </c>
      <c r="C14" s="17">
        <v>770</v>
      </c>
      <c r="D14" s="17">
        <v>880</v>
      </c>
      <c r="E14" s="17">
        <v>980</v>
      </c>
      <c r="F14" s="17">
        <v>1060</v>
      </c>
      <c r="G14" s="17">
        <v>1110</v>
      </c>
      <c r="H14" s="17">
        <v>1100</v>
      </c>
      <c r="I14" s="17">
        <v>1090</v>
      </c>
      <c r="J14" s="17">
        <v>1010</v>
      </c>
      <c r="K14" s="17">
        <v>950</v>
      </c>
      <c r="L14" s="17">
        <v>910</v>
      </c>
      <c r="M14" s="17">
        <v>1170</v>
      </c>
      <c r="N14" s="18">
        <f>SUM(B14:M14)</f>
        <v>11820</v>
      </c>
    </row>
    <row r="15" spans="1:14" x14ac:dyDescent="0.35">
      <c r="A15" s="19" t="s">
        <v>27</v>
      </c>
      <c r="B15" s="20">
        <f t="shared" ref="B15:M15" si="0">SUM(B12:B14)</f>
        <v>4370</v>
      </c>
      <c r="C15" s="20">
        <f t="shared" si="0"/>
        <v>4200</v>
      </c>
      <c r="D15" s="20">
        <f t="shared" si="0"/>
        <v>4860</v>
      </c>
      <c r="E15" s="20">
        <f t="shared" si="0"/>
        <v>5440</v>
      </c>
      <c r="F15" s="20">
        <f t="shared" si="0"/>
        <v>6140</v>
      </c>
      <c r="G15" s="20">
        <f t="shared" si="0"/>
        <v>6500</v>
      </c>
      <c r="H15" s="20">
        <f t="shared" si="0"/>
        <v>6720</v>
      </c>
      <c r="I15" s="20">
        <f t="shared" si="0"/>
        <v>6620</v>
      </c>
      <c r="J15" s="20">
        <f t="shared" si="0"/>
        <v>5780</v>
      </c>
      <c r="K15" s="20">
        <f t="shared" si="0"/>
        <v>5350</v>
      </c>
      <c r="L15" s="20">
        <f t="shared" si="0"/>
        <v>5030</v>
      </c>
      <c r="M15" s="20">
        <f t="shared" si="0"/>
        <v>6250</v>
      </c>
      <c r="N15" s="20">
        <f>SUM(B15:M15)</f>
        <v>67260</v>
      </c>
    </row>
    <row r="17" spans="1:14" ht="21.75" customHeight="1" x14ac:dyDescent="0.35">
      <c r="A17" s="5" t="s">
        <v>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5">
      <c r="A18" s="16" t="s">
        <v>29</v>
      </c>
      <c r="B18" s="17">
        <v>600</v>
      </c>
      <c r="C18" s="17">
        <v>560</v>
      </c>
      <c r="D18" s="17">
        <v>540</v>
      </c>
      <c r="E18" s="17">
        <v>520</v>
      </c>
      <c r="F18" s="17">
        <v>490</v>
      </c>
      <c r="G18" s="17">
        <v>470</v>
      </c>
      <c r="H18" s="17">
        <v>440</v>
      </c>
      <c r="I18" s="17">
        <v>450</v>
      </c>
      <c r="J18" s="17">
        <v>510</v>
      </c>
      <c r="K18" s="17">
        <v>580</v>
      </c>
      <c r="L18" s="17">
        <v>640</v>
      </c>
      <c r="M18" s="17">
        <v>700</v>
      </c>
      <c r="N18" s="18">
        <f>SUM(B18:M18)</f>
        <v>6500</v>
      </c>
    </row>
    <row r="19" spans="1:14" x14ac:dyDescent="0.35">
      <c r="A19" s="16" t="s">
        <v>30</v>
      </c>
      <c r="B19" s="17">
        <v>300</v>
      </c>
      <c r="C19" s="17">
        <v>280</v>
      </c>
      <c r="D19" s="17">
        <v>270</v>
      </c>
      <c r="E19" s="17">
        <v>260</v>
      </c>
      <c r="F19" s="17">
        <v>240</v>
      </c>
      <c r="G19" s="17">
        <v>220</v>
      </c>
      <c r="H19" s="17">
        <v>210</v>
      </c>
      <c r="I19" s="17">
        <v>220</v>
      </c>
      <c r="J19" s="17">
        <v>260</v>
      </c>
      <c r="K19" s="17">
        <v>300</v>
      </c>
      <c r="L19" s="17">
        <v>330</v>
      </c>
      <c r="M19" s="17">
        <v>360</v>
      </c>
      <c r="N19" s="18">
        <f>SUM(B19:M19)</f>
        <v>3250</v>
      </c>
    </row>
    <row r="20" spans="1:14" x14ac:dyDescent="0.35">
      <c r="A20" s="19" t="s">
        <v>31</v>
      </c>
      <c r="B20" s="20">
        <f t="shared" ref="B20:M20" si="1">SUM(B18:B19)</f>
        <v>900</v>
      </c>
      <c r="C20" s="20">
        <f t="shared" si="1"/>
        <v>840</v>
      </c>
      <c r="D20" s="20">
        <f t="shared" si="1"/>
        <v>810</v>
      </c>
      <c r="E20" s="20">
        <f t="shared" si="1"/>
        <v>780</v>
      </c>
      <c r="F20" s="20">
        <f t="shared" si="1"/>
        <v>730</v>
      </c>
      <c r="G20" s="20">
        <f t="shared" si="1"/>
        <v>690</v>
      </c>
      <c r="H20" s="20">
        <f t="shared" si="1"/>
        <v>650</v>
      </c>
      <c r="I20" s="20">
        <f t="shared" si="1"/>
        <v>670</v>
      </c>
      <c r="J20" s="20">
        <f t="shared" si="1"/>
        <v>770</v>
      </c>
      <c r="K20" s="20">
        <f t="shared" si="1"/>
        <v>880</v>
      </c>
      <c r="L20" s="20">
        <f t="shared" si="1"/>
        <v>970</v>
      </c>
      <c r="M20" s="20">
        <f t="shared" si="1"/>
        <v>1060</v>
      </c>
      <c r="N20" s="20">
        <f>SUM(B20:M20)</f>
        <v>9750</v>
      </c>
    </row>
    <row r="22" spans="1:14" ht="21.75" customHeight="1" x14ac:dyDescent="0.35">
      <c r="A22" s="4" t="s">
        <v>32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5">
      <c r="A23" s="16" t="s">
        <v>33</v>
      </c>
      <c r="B23" s="17">
        <v>160</v>
      </c>
      <c r="C23" s="17">
        <v>150</v>
      </c>
      <c r="D23" s="17">
        <v>190</v>
      </c>
      <c r="E23" s="17">
        <v>220</v>
      </c>
      <c r="F23" s="17">
        <v>260</v>
      </c>
      <c r="G23" s="17">
        <v>290</v>
      </c>
      <c r="H23" s="17">
        <v>300</v>
      </c>
      <c r="I23" s="17">
        <v>290</v>
      </c>
      <c r="J23" s="17">
        <v>250</v>
      </c>
      <c r="K23" s="17">
        <v>210</v>
      </c>
      <c r="L23" s="17">
        <v>180</v>
      </c>
      <c r="M23" s="17">
        <v>230</v>
      </c>
      <c r="N23" s="18">
        <f>SUM(B23:M23)</f>
        <v>2730</v>
      </c>
    </row>
    <row r="24" spans="1:14" x14ac:dyDescent="0.35">
      <c r="A24" s="16" t="s">
        <v>34</v>
      </c>
      <c r="B24" s="17">
        <v>170</v>
      </c>
      <c r="C24" s="17">
        <v>160</v>
      </c>
      <c r="D24" s="17">
        <v>220</v>
      </c>
      <c r="E24" s="17">
        <v>290</v>
      </c>
      <c r="F24" s="17">
        <v>400</v>
      </c>
      <c r="G24" s="17">
        <v>480</v>
      </c>
      <c r="H24" s="17">
        <v>530</v>
      </c>
      <c r="I24" s="17">
        <v>510</v>
      </c>
      <c r="J24" s="17">
        <v>380</v>
      </c>
      <c r="K24" s="17">
        <v>270</v>
      </c>
      <c r="L24" s="17">
        <v>210</v>
      </c>
      <c r="M24" s="17">
        <v>230</v>
      </c>
      <c r="N24" s="18">
        <f>SUM(B24:M24)</f>
        <v>3850</v>
      </c>
    </row>
    <row r="25" spans="1:14" x14ac:dyDescent="0.35">
      <c r="A25" s="16" t="s">
        <v>35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8">
        <f>SUM(B25:M25)</f>
        <v>0</v>
      </c>
    </row>
    <row r="26" spans="1:14" x14ac:dyDescent="0.35">
      <c r="A26" s="19" t="s">
        <v>36</v>
      </c>
      <c r="B26" s="20">
        <f t="shared" ref="B26:M26" si="2">SUM(B23:B25)</f>
        <v>330</v>
      </c>
      <c r="C26" s="20">
        <f t="shared" si="2"/>
        <v>310</v>
      </c>
      <c r="D26" s="20">
        <f t="shared" si="2"/>
        <v>410</v>
      </c>
      <c r="E26" s="20">
        <f t="shared" si="2"/>
        <v>510</v>
      </c>
      <c r="F26" s="20">
        <f t="shared" si="2"/>
        <v>660</v>
      </c>
      <c r="G26" s="20">
        <f t="shared" si="2"/>
        <v>770</v>
      </c>
      <c r="H26" s="20">
        <f t="shared" si="2"/>
        <v>830</v>
      </c>
      <c r="I26" s="20">
        <f t="shared" si="2"/>
        <v>800</v>
      </c>
      <c r="J26" s="20">
        <f t="shared" si="2"/>
        <v>630</v>
      </c>
      <c r="K26" s="20">
        <f t="shared" si="2"/>
        <v>480</v>
      </c>
      <c r="L26" s="20">
        <f t="shared" si="2"/>
        <v>390</v>
      </c>
      <c r="M26" s="20">
        <f t="shared" si="2"/>
        <v>460</v>
      </c>
      <c r="N26" s="20">
        <f>SUM(B26:M26)</f>
        <v>6580</v>
      </c>
    </row>
    <row r="28" spans="1:14" ht="21.75" customHeight="1" x14ac:dyDescent="0.35">
      <c r="A28" s="3" t="s">
        <v>37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5">
      <c r="A29" s="16" t="s">
        <v>38</v>
      </c>
      <c r="B29" s="17">
        <v>290</v>
      </c>
      <c r="C29" s="17">
        <v>280</v>
      </c>
      <c r="D29" s="17">
        <v>320</v>
      </c>
      <c r="E29" s="17">
        <v>370</v>
      </c>
      <c r="F29" s="17">
        <v>420</v>
      </c>
      <c r="G29" s="17">
        <v>450</v>
      </c>
      <c r="H29" s="17">
        <v>470</v>
      </c>
      <c r="I29" s="17">
        <v>460</v>
      </c>
      <c r="J29" s="17">
        <v>410</v>
      </c>
      <c r="K29" s="17">
        <v>370</v>
      </c>
      <c r="L29" s="17">
        <v>340</v>
      </c>
      <c r="M29" s="17">
        <v>390</v>
      </c>
      <c r="N29" s="18">
        <f>SUM(B29:M29)</f>
        <v>4570</v>
      </c>
    </row>
    <row r="30" spans="1:14" x14ac:dyDescent="0.35">
      <c r="A30" s="16" t="s">
        <v>39</v>
      </c>
      <c r="B30" s="17">
        <v>80</v>
      </c>
      <c r="C30" s="17">
        <v>70</v>
      </c>
      <c r="D30" s="17">
        <v>110</v>
      </c>
      <c r="E30" s="17">
        <v>190</v>
      </c>
      <c r="F30" s="17">
        <v>290</v>
      </c>
      <c r="G30" s="17">
        <v>380</v>
      </c>
      <c r="H30" s="17">
        <v>430</v>
      </c>
      <c r="I30" s="17">
        <v>420</v>
      </c>
      <c r="J30" s="17">
        <v>270</v>
      </c>
      <c r="K30" s="17">
        <v>150</v>
      </c>
      <c r="L30" s="17">
        <v>90</v>
      </c>
      <c r="M30" s="17">
        <v>100</v>
      </c>
      <c r="N30" s="18">
        <f>SUM(B30:M30)</f>
        <v>2580</v>
      </c>
    </row>
    <row r="31" spans="1:14" x14ac:dyDescent="0.35">
      <c r="A31" s="19" t="s">
        <v>40</v>
      </c>
      <c r="B31" s="20">
        <f t="shared" ref="B31:M31" si="3">SUM(B29:B30)</f>
        <v>370</v>
      </c>
      <c r="C31" s="20">
        <f t="shared" si="3"/>
        <v>350</v>
      </c>
      <c r="D31" s="20">
        <f t="shared" si="3"/>
        <v>430</v>
      </c>
      <c r="E31" s="20">
        <f t="shared" si="3"/>
        <v>560</v>
      </c>
      <c r="F31" s="20">
        <f t="shared" si="3"/>
        <v>710</v>
      </c>
      <c r="G31" s="20">
        <f t="shared" si="3"/>
        <v>830</v>
      </c>
      <c r="H31" s="20">
        <f t="shared" si="3"/>
        <v>900</v>
      </c>
      <c r="I31" s="20">
        <f t="shared" si="3"/>
        <v>880</v>
      </c>
      <c r="J31" s="20">
        <f t="shared" si="3"/>
        <v>680</v>
      </c>
      <c r="K31" s="20">
        <f t="shared" si="3"/>
        <v>520</v>
      </c>
      <c r="L31" s="20">
        <f t="shared" si="3"/>
        <v>430</v>
      </c>
      <c r="M31" s="20">
        <f t="shared" si="3"/>
        <v>490</v>
      </c>
      <c r="N31" s="20">
        <f>SUM(B31:M31)</f>
        <v>7150</v>
      </c>
    </row>
    <row r="33" spans="1:14" ht="21.75" customHeight="1" x14ac:dyDescent="0.35">
      <c r="A33" s="21" t="s">
        <v>41</v>
      </c>
      <c r="B33" s="22">
        <f t="shared" ref="B33:M33" si="4">B15+B20+B26+B31</f>
        <v>5970</v>
      </c>
      <c r="C33" s="22">
        <f t="shared" si="4"/>
        <v>5700</v>
      </c>
      <c r="D33" s="22">
        <f t="shared" si="4"/>
        <v>6510</v>
      </c>
      <c r="E33" s="22">
        <f t="shared" si="4"/>
        <v>7290</v>
      </c>
      <c r="F33" s="22">
        <f t="shared" si="4"/>
        <v>8240</v>
      </c>
      <c r="G33" s="22">
        <f t="shared" si="4"/>
        <v>8790</v>
      </c>
      <c r="H33" s="22">
        <f t="shared" si="4"/>
        <v>9100</v>
      </c>
      <c r="I33" s="22">
        <f t="shared" si="4"/>
        <v>8970</v>
      </c>
      <c r="J33" s="22">
        <f t="shared" si="4"/>
        <v>7860</v>
      </c>
      <c r="K33" s="22">
        <f t="shared" si="4"/>
        <v>7230</v>
      </c>
      <c r="L33" s="22">
        <f t="shared" si="4"/>
        <v>6820</v>
      </c>
      <c r="M33" s="22">
        <f t="shared" si="4"/>
        <v>8260</v>
      </c>
      <c r="N33" s="22">
        <f>SUM(B33:M33)</f>
        <v>90740</v>
      </c>
    </row>
    <row r="35" spans="1:14" x14ac:dyDescent="0.35">
      <c r="A35" s="23" t="s">
        <v>42</v>
      </c>
      <c r="B35" s="24">
        <v>10000</v>
      </c>
      <c r="C35" s="24">
        <v>9700</v>
      </c>
      <c r="D35" s="24">
        <v>10800</v>
      </c>
      <c r="E35" s="24">
        <v>12000</v>
      </c>
      <c r="F35" s="24">
        <v>13500</v>
      </c>
      <c r="G35" s="24">
        <v>14400</v>
      </c>
      <c r="H35" s="24">
        <v>14800</v>
      </c>
      <c r="I35" s="24">
        <v>14500</v>
      </c>
      <c r="J35" s="24">
        <v>12700</v>
      </c>
      <c r="K35" s="24">
        <v>11700</v>
      </c>
      <c r="L35" s="24">
        <v>10900</v>
      </c>
      <c r="M35" s="24">
        <v>12800</v>
      </c>
      <c r="N35" s="25">
        <f>SUM(B35:M35)</f>
        <v>147800</v>
      </c>
    </row>
    <row r="36" spans="1:14" x14ac:dyDescent="0.35">
      <c r="A36" s="26" t="s">
        <v>43</v>
      </c>
      <c r="B36" s="27">
        <f t="shared" ref="B36:N36" si="5">B33-B35</f>
        <v>-4030</v>
      </c>
      <c r="C36" s="27">
        <f t="shared" si="5"/>
        <v>-4000</v>
      </c>
      <c r="D36" s="27">
        <f t="shared" si="5"/>
        <v>-4290</v>
      </c>
      <c r="E36" s="27">
        <f t="shared" si="5"/>
        <v>-4710</v>
      </c>
      <c r="F36" s="27">
        <f t="shared" si="5"/>
        <v>-5260</v>
      </c>
      <c r="G36" s="27">
        <f t="shared" si="5"/>
        <v>-5610</v>
      </c>
      <c r="H36" s="27">
        <f t="shared" si="5"/>
        <v>-5700</v>
      </c>
      <c r="I36" s="27">
        <f t="shared" si="5"/>
        <v>-5530</v>
      </c>
      <c r="J36" s="27">
        <f t="shared" si="5"/>
        <v>-4840</v>
      </c>
      <c r="K36" s="27">
        <f t="shared" si="5"/>
        <v>-4470</v>
      </c>
      <c r="L36" s="27">
        <f t="shared" si="5"/>
        <v>-4080</v>
      </c>
      <c r="M36" s="27">
        <f t="shared" si="5"/>
        <v>-4540</v>
      </c>
      <c r="N36" s="28">
        <f t="shared" si="5"/>
        <v>-57060</v>
      </c>
    </row>
    <row r="38" spans="1:14" x14ac:dyDescent="0.35">
      <c r="A38" s="2" t="s">
        <v>44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35">
      <c r="A39" s="1" t="s">
        <v>45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35">
      <c r="A40" s="1" t="s">
        <v>46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35">
      <c r="A41" s="1" t="s">
        <v>47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35">
      <c r="A42" s="1" t="s">
        <v>48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</sheetData>
  <mergeCells count="20">
    <mergeCell ref="A39:N39"/>
    <mergeCell ref="A40:N40"/>
    <mergeCell ref="A41:N41"/>
    <mergeCell ref="A42:N42"/>
    <mergeCell ref="A11:N11"/>
    <mergeCell ref="A17:N17"/>
    <mergeCell ref="A22:N22"/>
    <mergeCell ref="A28:N28"/>
    <mergeCell ref="A38:N38"/>
    <mergeCell ref="A1:N1"/>
    <mergeCell ref="A2:N2"/>
    <mergeCell ref="A4:N4"/>
    <mergeCell ref="A5:N5"/>
    <mergeCell ref="A7:A9"/>
    <mergeCell ref="B7:M7"/>
    <mergeCell ref="N7:N9"/>
    <mergeCell ref="B8:D8"/>
    <mergeCell ref="E8:G8"/>
    <mergeCell ref="H8:J8"/>
    <mergeCell ref="K8:M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ColWidth="8.6328125" defaultRowHeight="14.5" x14ac:dyDescent="0.35"/>
  <cols>
    <col min="1" max="1" width="36" customWidth="1"/>
    <col min="2" max="13" width="9" customWidth="1"/>
    <col min="14" max="14" width="12" customWidth="1"/>
  </cols>
  <sheetData>
    <row r="1" spans="1:14" ht="33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8" x14ac:dyDescent="0.35">
      <c r="A4" s="12" t="s">
        <v>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35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7" spans="1:14" ht="21.75" customHeight="1" x14ac:dyDescent="0.35">
      <c r="A7" s="10" t="s">
        <v>4</v>
      </c>
      <c r="B7" s="9" t="s">
        <v>50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8" t="s">
        <v>51</v>
      </c>
    </row>
    <row r="8" spans="1:14" ht="19.5" customHeight="1" x14ac:dyDescent="0.35">
      <c r="A8" s="10"/>
      <c r="B8" s="7" t="s">
        <v>7</v>
      </c>
      <c r="C8" s="7"/>
      <c r="D8" s="7"/>
      <c r="E8" s="7" t="s">
        <v>8</v>
      </c>
      <c r="F8" s="7"/>
      <c r="G8" s="7"/>
      <c r="H8" s="7" t="s">
        <v>9</v>
      </c>
      <c r="I8" s="7"/>
      <c r="J8" s="7"/>
      <c r="K8" s="7" t="s">
        <v>10</v>
      </c>
      <c r="L8" s="7"/>
      <c r="M8" s="7"/>
      <c r="N8" s="8"/>
    </row>
    <row r="9" spans="1:14" ht="19.5" customHeight="1" x14ac:dyDescent="0.35">
      <c r="A9" s="10"/>
      <c r="B9" s="15" t="s">
        <v>11</v>
      </c>
      <c r="C9" s="15" t="s">
        <v>12</v>
      </c>
      <c r="D9" s="15" t="s">
        <v>13</v>
      </c>
      <c r="E9" s="15" t="s">
        <v>14</v>
      </c>
      <c r="F9" s="15" t="s">
        <v>15</v>
      </c>
      <c r="G9" s="15" t="s">
        <v>16</v>
      </c>
      <c r="H9" s="15" t="s">
        <v>17</v>
      </c>
      <c r="I9" s="15" t="s">
        <v>18</v>
      </c>
      <c r="J9" s="15" t="s">
        <v>19</v>
      </c>
      <c r="K9" s="15" t="s">
        <v>20</v>
      </c>
      <c r="L9" s="15" t="s">
        <v>21</v>
      </c>
      <c r="M9" s="15" t="s">
        <v>22</v>
      </c>
      <c r="N9" s="8"/>
    </row>
    <row r="11" spans="1:14" ht="21.75" customHeight="1" x14ac:dyDescent="0.35">
      <c r="A11" s="6" t="s">
        <v>23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5">
      <c r="A12" s="16" t="s">
        <v>24</v>
      </c>
      <c r="B12" s="17">
        <v>2100</v>
      </c>
      <c r="C12" s="17">
        <v>2050</v>
      </c>
      <c r="D12" s="17">
        <v>2400</v>
      </c>
      <c r="E12" s="17">
        <v>2700</v>
      </c>
      <c r="F12" s="17">
        <v>3100</v>
      </c>
      <c r="G12" s="17">
        <v>3300</v>
      </c>
      <c r="H12" s="17">
        <v>3450</v>
      </c>
      <c r="I12" s="17">
        <v>3400</v>
      </c>
      <c r="J12" s="17">
        <v>2900</v>
      </c>
      <c r="K12" s="17">
        <v>2600</v>
      </c>
      <c r="L12" s="17">
        <v>2400</v>
      </c>
      <c r="M12" s="17">
        <v>2950</v>
      </c>
      <c r="N12" s="18">
        <f>SUM(B12:M12)</f>
        <v>33350</v>
      </c>
    </row>
    <row r="13" spans="1:14" x14ac:dyDescent="0.35">
      <c r="A13" s="16" t="s">
        <v>25</v>
      </c>
      <c r="B13" s="17">
        <v>1700</v>
      </c>
      <c r="C13" s="17">
        <v>1650</v>
      </c>
      <c r="D13" s="17">
        <v>1850</v>
      </c>
      <c r="E13" s="17">
        <v>2050</v>
      </c>
      <c r="F13" s="17">
        <v>2300</v>
      </c>
      <c r="G13" s="17">
        <v>2400</v>
      </c>
      <c r="H13" s="17">
        <v>2500</v>
      </c>
      <c r="I13" s="17">
        <v>2450</v>
      </c>
      <c r="J13" s="17">
        <v>2150</v>
      </c>
      <c r="K13" s="17">
        <v>2050</v>
      </c>
      <c r="L13" s="17">
        <v>1950</v>
      </c>
      <c r="M13" s="17">
        <v>2400</v>
      </c>
      <c r="N13" s="18">
        <f>SUM(B13:M13)</f>
        <v>25450</v>
      </c>
    </row>
    <row r="14" spans="1:14" x14ac:dyDescent="0.35">
      <c r="A14" s="16" t="s">
        <v>26</v>
      </c>
      <c r="B14" s="17">
        <v>850</v>
      </c>
      <c r="C14" s="17">
        <v>830</v>
      </c>
      <c r="D14" s="17">
        <v>950</v>
      </c>
      <c r="E14" s="17">
        <v>1050</v>
      </c>
      <c r="F14" s="17">
        <v>1150</v>
      </c>
      <c r="G14" s="17">
        <v>1200</v>
      </c>
      <c r="H14" s="17">
        <v>1180</v>
      </c>
      <c r="I14" s="17">
        <v>1170</v>
      </c>
      <c r="J14" s="17">
        <v>1080</v>
      </c>
      <c r="K14" s="17">
        <v>1020</v>
      </c>
      <c r="L14" s="17">
        <v>980</v>
      </c>
      <c r="M14" s="17">
        <v>1250</v>
      </c>
      <c r="N14" s="18">
        <f>SUM(B14:M14)</f>
        <v>12710</v>
      </c>
    </row>
    <row r="15" spans="1:14" x14ac:dyDescent="0.35">
      <c r="A15" s="19" t="s">
        <v>27</v>
      </c>
      <c r="B15" s="20">
        <f t="shared" ref="B15:M15" si="0">SUM(B12:B14)</f>
        <v>4650</v>
      </c>
      <c r="C15" s="20">
        <f t="shared" si="0"/>
        <v>4530</v>
      </c>
      <c r="D15" s="20">
        <f t="shared" si="0"/>
        <v>5200</v>
      </c>
      <c r="E15" s="20">
        <f t="shared" si="0"/>
        <v>5800</v>
      </c>
      <c r="F15" s="20">
        <f t="shared" si="0"/>
        <v>6550</v>
      </c>
      <c r="G15" s="20">
        <f t="shared" si="0"/>
        <v>6900</v>
      </c>
      <c r="H15" s="20">
        <f t="shared" si="0"/>
        <v>7130</v>
      </c>
      <c r="I15" s="20">
        <f t="shared" si="0"/>
        <v>7020</v>
      </c>
      <c r="J15" s="20">
        <f t="shared" si="0"/>
        <v>6130</v>
      </c>
      <c r="K15" s="20">
        <f t="shared" si="0"/>
        <v>5670</v>
      </c>
      <c r="L15" s="20">
        <f t="shared" si="0"/>
        <v>5330</v>
      </c>
      <c r="M15" s="20">
        <f t="shared" si="0"/>
        <v>6600</v>
      </c>
      <c r="N15" s="20">
        <f>SUM(B15:M15)</f>
        <v>71510</v>
      </c>
    </row>
    <row r="17" spans="1:14" ht="21.75" customHeight="1" x14ac:dyDescent="0.35">
      <c r="A17" s="5" t="s">
        <v>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5">
      <c r="A18" s="16" t="s">
        <v>29</v>
      </c>
      <c r="B18" s="17">
        <v>620</v>
      </c>
      <c r="C18" s="17">
        <v>580</v>
      </c>
      <c r="D18" s="17">
        <v>560</v>
      </c>
      <c r="E18" s="17">
        <v>540</v>
      </c>
      <c r="F18" s="17">
        <v>510</v>
      </c>
      <c r="G18" s="17">
        <v>480</v>
      </c>
      <c r="H18" s="17">
        <v>450</v>
      </c>
      <c r="I18" s="17">
        <v>460</v>
      </c>
      <c r="J18" s="17">
        <v>530</v>
      </c>
      <c r="K18" s="17">
        <v>600</v>
      </c>
      <c r="L18" s="17">
        <v>660</v>
      </c>
      <c r="M18" s="17">
        <v>720</v>
      </c>
      <c r="N18" s="18">
        <f>SUM(B18:M18)</f>
        <v>6710</v>
      </c>
    </row>
    <row r="19" spans="1:14" x14ac:dyDescent="0.35">
      <c r="A19" s="16" t="s">
        <v>30</v>
      </c>
      <c r="B19" s="17">
        <v>310</v>
      </c>
      <c r="C19" s="17">
        <v>290</v>
      </c>
      <c r="D19" s="17">
        <v>280</v>
      </c>
      <c r="E19" s="17">
        <v>270</v>
      </c>
      <c r="F19" s="17">
        <v>250</v>
      </c>
      <c r="G19" s="17">
        <v>230</v>
      </c>
      <c r="H19" s="17">
        <v>220</v>
      </c>
      <c r="I19" s="17">
        <v>230</v>
      </c>
      <c r="J19" s="17">
        <v>270</v>
      </c>
      <c r="K19" s="17">
        <v>310</v>
      </c>
      <c r="L19" s="17">
        <v>340</v>
      </c>
      <c r="M19" s="17">
        <v>380</v>
      </c>
      <c r="N19" s="18">
        <f>SUM(B19:M19)</f>
        <v>3380</v>
      </c>
    </row>
    <row r="20" spans="1:14" x14ac:dyDescent="0.35">
      <c r="A20" s="19" t="s">
        <v>31</v>
      </c>
      <c r="B20" s="20">
        <f t="shared" ref="B20:M20" si="1">SUM(B18:B19)</f>
        <v>930</v>
      </c>
      <c r="C20" s="20">
        <f t="shared" si="1"/>
        <v>870</v>
      </c>
      <c r="D20" s="20">
        <f t="shared" si="1"/>
        <v>840</v>
      </c>
      <c r="E20" s="20">
        <f t="shared" si="1"/>
        <v>810</v>
      </c>
      <c r="F20" s="20">
        <f t="shared" si="1"/>
        <v>760</v>
      </c>
      <c r="G20" s="20">
        <f t="shared" si="1"/>
        <v>710</v>
      </c>
      <c r="H20" s="20">
        <f t="shared" si="1"/>
        <v>670</v>
      </c>
      <c r="I20" s="20">
        <f t="shared" si="1"/>
        <v>690</v>
      </c>
      <c r="J20" s="20">
        <f t="shared" si="1"/>
        <v>800</v>
      </c>
      <c r="K20" s="20">
        <f t="shared" si="1"/>
        <v>910</v>
      </c>
      <c r="L20" s="20">
        <f t="shared" si="1"/>
        <v>1000</v>
      </c>
      <c r="M20" s="20">
        <f t="shared" si="1"/>
        <v>1100</v>
      </c>
      <c r="N20" s="20">
        <f>SUM(B20:M20)</f>
        <v>10090</v>
      </c>
    </row>
    <row r="22" spans="1:14" ht="21.75" customHeight="1" x14ac:dyDescent="0.35">
      <c r="A22" s="4" t="s">
        <v>32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5">
      <c r="A23" s="16" t="s">
        <v>33</v>
      </c>
      <c r="B23" s="17">
        <v>180</v>
      </c>
      <c r="C23" s="17">
        <v>170</v>
      </c>
      <c r="D23" s="17">
        <v>210</v>
      </c>
      <c r="E23" s="17">
        <v>240</v>
      </c>
      <c r="F23" s="17">
        <v>280</v>
      </c>
      <c r="G23" s="17">
        <v>310</v>
      </c>
      <c r="H23" s="17">
        <v>320</v>
      </c>
      <c r="I23" s="17">
        <v>310</v>
      </c>
      <c r="J23" s="17">
        <v>270</v>
      </c>
      <c r="K23" s="17">
        <v>230</v>
      </c>
      <c r="L23" s="17">
        <v>200</v>
      </c>
      <c r="M23" s="17">
        <v>250</v>
      </c>
      <c r="N23" s="18">
        <f>SUM(B23:M23)</f>
        <v>2970</v>
      </c>
    </row>
    <row r="24" spans="1:14" x14ac:dyDescent="0.35">
      <c r="A24" s="16" t="s">
        <v>34</v>
      </c>
      <c r="B24" s="17">
        <v>180</v>
      </c>
      <c r="C24" s="17">
        <v>170</v>
      </c>
      <c r="D24" s="17">
        <v>230</v>
      </c>
      <c r="E24" s="17">
        <v>310</v>
      </c>
      <c r="F24" s="17">
        <v>420</v>
      </c>
      <c r="G24" s="17">
        <v>510</v>
      </c>
      <c r="H24" s="17">
        <v>560</v>
      </c>
      <c r="I24" s="17">
        <v>540</v>
      </c>
      <c r="J24" s="17">
        <v>400</v>
      </c>
      <c r="K24" s="17">
        <v>280</v>
      </c>
      <c r="L24" s="17">
        <v>220</v>
      </c>
      <c r="M24" s="17">
        <v>240</v>
      </c>
      <c r="N24" s="18">
        <f>SUM(B24:M24)</f>
        <v>4060</v>
      </c>
    </row>
    <row r="25" spans="1:14" x14ac:dyDescent="0.35">
      <c r="A25" s="16" t="s">
        <v>35</v>
      </c>
      <c r="B25" s="17">
        <v>0</v>
      </c>
      <c r="C25" s="17">
        <v>0</v>
      </c>
      <c r="D25" s="17">
        <v>0</v>
      </c>
      <c r="E25" s="17">
        <v>180</v>
      </c>
      <c r="F25" s="17">
        <v>220</v>
      </c>
      <c r="G25" s="17">
        <v>240</v>
      </c>
      <c r="H25" s="17">
        <v>250</v>
      </c>
      <c r="I25" s="17">
        <v>230</v>
      </c>
      <c r="J25" s="17">
        <v>200</v>
      </c>
      <c r="K25" s="17">
        <v>180</v>
      </c>
      <c r="L25" s="17">
        <v>170</v>
      </c>
      <c r="M25" s="17">
        <v>280</v>
      </c>
      <c r="N25" s="18">
        <f>SUM(B25:M25)</f>
        <v>1950</v>
      </c>
    </row>
    <row r="26" spans="1:14" x14ac:dyDescent="0.35">
      <c r="A26" s="19" t="s">
        <v>36</v>
      </c>
      <c r="B26" s="20">
        <f t="shared" ref="B26:M26" si="2">SUM(B23:B25)</f>
        <v>360</v>
      </c>
      <c r="C26" s="20">
        <f t="shared" si="2"/>
        <v>340</v>
      </c>
      <c r="D26" s="20">
        <f t="shared" si="2"/>
        <v>440</v>
      </c>
      <c r="E26" s="20">
        <f t="shared" si="2"/>
        <v>730</v>
      </c>
      <c r="F26" s="20">
        <f t="shared" si="2"/>
        <v>920</v>
      </c>
      <c r="G26" s="20">
        <f t="shared" si="2"/>
        <v>1060</v>
      </c>
      <c r="H26" s="20">
        <f t="shared" si="2"/>
        <v>1130</v>
      </c>
      <c r="I26" s="20">
        <f t="shared" si="2"/>
        <v>1080</v>
      </c>
      <c r="J26" s="20">
        <f t="shared" si="2"/>
        <v>870</v>
      </c>
      <c r="K26" s="20">
        <f t="shared" si="2"/>
        <v>690</v>
      </c>
      <c r="L26" s="20">
        <f t="shared" si="2"/>
        <v>590</v>
      </c>
      <c r="M26" s="20">
        <f t="shared" si="2"/>
        <v>770</v>
      </c>
      <c r="N26" s="20">
        <f>SUM(B26:M26)</f>
        <v>8980</v>
      </c>
    </row>
    <row r="28" spans="1:14" ht="21.75" customHeight="1" x14ac:dyDescent="0.35">
      <c r="A28" s="3" t="s">
        <v>37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5">
      <c r="A29" s="16" t="s">
        <v>38</v>
      </c>
      <c r="B29" s="17">
        <v>320</v>
      </c>
      <c r="C29" s="17">
        <v>310</v>
      </c>
      <c r="D29" s="17">
        <v>360</v>
      </c>
      <c r="E29" s="17">
        <v>410</v>
      </c>
      <c r="F29" s="17">
        <v>460</v>
      </c>
      <c r="G29" s="17">
        <v>490</v>
      </c>
      <c r="H29" s="17">
        <v>510</v>
      </c>
      <c r="I29" s="17">
        <v>500</v>
      </c>
      <c r="J29" s="17">
        <v>440</v>
      </c>
      <c r="K29" s="17">
        <v>390</v>
      </c>
      <c r="L29" s="17">
        <v>360</v>
      </c>
      <c r="M29" s="17">
        <v>410</v>
      </c>
      <c r="N29" s="18">
        <f>SUM(B29:M29)</f>
        <v>4960</v>
      </c>
    </row>
    <row r="30" spans="1:14" x14ac:dyDescent="0.35">
      <c r="A30" s="16" t="s">
        <v>39</v>
      </c>
      <c r="B30" s="17">
        <v>90</v>
      </c>
      <c r="C30" s="17">
        <v>80</v>
      </c>
      <c r="D30" s="17">
        <v>130</v>
      </c>
      <c r="E30" s="17">
        <v>210</v>
      </c>
      <c r="F30" s="17">
        <v>320</v>
      </c>
      <c r="G30" s="17">
        <v>410</v>
      </c>
      <c r="H30" s="17">
        <v>470</v>
      </c>
      <c r="I30" s="17">
        <v>450</v>
      </c>
      <c r="J30" s="17">
        <v>290</v>
      </c>
      <c r="K30" s="17">
        <v>160</v>
      </c>
      <c r="L30" s="17">
        <v>100</v>
      </c>
      <c r="M30" s="17">
        <v>110</v>
      </c>
      <c r="N30" s="18">
        <f>SUM(B30:M30)</f>
        <v>2820</v>
      </c>
    </row>
    <row r="31" spans="1:14" x14ac:dyDescent="0.35">
      <c r="A31" s="19" t="s">
        <v>40</v>
      </c>
      <c r="B31" s="20">
        <f t="shared" ref="B31:M31" si="3">SUM(B29:B30)</f>
        <v>410</v>
      </c>
      <c r="C31" s="20">
        <f t="shared" si="3"/>
        <v>390</v>
      </c>
      <c r="D31" s="20">
        <f t="shared" si="3"/>
        <v>490</v>
      </c>
      <c r="E31" s="20">
        <f t="shared" si="3"/>
        <v>620</v>
      </c>
      <c r="F31" s="20">
        <f t="shared" si="3"/>
        <v>780</v>
      </c>
      <c r="G31" s="20">
        <f t="shared" si="3"/>
        <v>900</v>
      </c>
      <c r="H31" s="20">
        <f t="shared" si="3"/>
        <v>980</v>
      </c>
      <c r="I31" s="20">
        <f t="shared" si="3"/>
        <v>950</v>
      </c>
      <c r="J31" s="20">
        <f t="shared" si="3"/>
        <v>730</v>
      </c>
      <c r="K31" s="20">
        <f t="shared" si="3"/>
        <v>550</v>
      </c>
      <c r="L31" s="20">
        <f t="shared" si="3"/>
        <v>460</v>
      </c>
      <c r="M31" s="20">
        <f t="shared" si="3"/>
        <v>520</v>
      </c>
      <c r="N31" s="20">
        <f>SUM(B31:M31)</f>
        <v>7780</v>
      </c>
    </row>
    <row r="33" spans="1:14" ht="21.75" customHeight="1" x14ac:dyDescent="0.35">
      <c r="A33" s="21" t="s">
        <v>41</v>
      </c>
      <c r="B33" s="22">
        <f t="shared" ref="B33:M33" si="4">B15+B20+B26+B31</f>
        <v>6350</v>
      </c>
      <c r="C33" s="22">
        <f t="shared" si="4"/>
        <v>6130</v>
      </c>
      <c r="D33" s="22">
        <f t="shared" si="4"/>
        <v>6970</v>
      </c>
      <c r="E33" s="22">
        <f t="shared" si="4"/>
        <v>7960</v>
      </c>
      <c r="F33" s="22">
        <f t="shared" si="4"/>
        <v>9010</v>
      </c>
      <c r="G33" s="22">
        <f t="shared" si="4"/>
        <v>9570</v>
      </c>
      <c r="H33" s="22">
        <f t="shared" si="4"/>
        <v>9910</v>
      </c>
      <c r="I33" s="22">
        <f t="shared" si="4"/>
        <v>9740</v>
      </c>
      <c r="J33" s="22">
        <f t="shared" si="4"/>
        <v>8530</v>
      </c>
      <c r="K33" s="22">
        <f t="shared" si="4"/>
        <v>7820</v>
      </c>
      <c r="L33" s="22">
        <f t="shared" si="4"/>
        <v>7380</v>
      </c>
      <c r="M33" s="22">
        <f t="shared" si="4"/>
        <v>8990</v>
      </c>
      <c r="N33" s="22">
        <f>SUM(B33:M33)</f>
        <v>98360</v>
      </c>
    </row>
    <row r="35" spans="1:14" x14ac:dyDescent="0.35">
      <c r="A35" s="23" t="s">
        <v>42</v>
      </c>
      <c r="B35" s="24">
        <v>10500</v>
      </c>
      <c r="C35" s="24">
        <v>10000</v>
      </c>
      <c r="D35" s="24">
        <v>11200</v>
      </c>
      <c r="E35" s="24">
        <v>12500</v>
      </c>
      <c r="F35" s="24">
        <v>14000</v>
      </c>
      <c r="G35" s="24">
        <v>15000</v>
      </c>
      <c r="H35" s="24">
        <v>15500</v>
      </c>
      <c r="I35" s="24">
        <v>15200</v>
      </c>
      <c r="J35" s="24">
        <v>13200</v>
      </c>
      <c r="K35" s="24">
        <v>12200</v>
      </c>
      <c r="L35" s="24">
        <v>11400</v>
      </c>
      <c r="M35" s="24">
        <v>13500</v>
      </c>
      <c r="N35" s="25">
        <f>SUM(B35:M35)</f>
        <v>154200</v>
      </c>
    </row>
    <row r="36" spans="1:14" x14ac:dyDescent="0.35">
      <c r="A36" s="26" t="s">
        <v>43</v>
      </c>
      <c r="B36" s="27">
        <f t="shared" ref="B36:N36" si="5">B33-B35</f>
        <v>-4150</v>
      </c>
      <c r="C36" s="27">
        <f t="shared" si="5"/>
        <v>-3870</v>
      </c>
      <c r="D36" s="27">
        <f t="shared" si="5"/>
        <v>-4230</v>
      </c>
      <c r="E36" s="27">
        <f t="shared" si="5"/>
        <v>-4540</v>
      </c>
      <c r="F36" s="27">
        <f t="shared" si="5"/>
        <v>-4990</v>
      </c>
      <c r="G36" s="27">
        <f t="shared" si="5"/>
        <v>-5430</v>
      </c>
      <c r="H36" s="27">
        <f t="shared" si="5"/>
        <v>-5590</v>
      </c>
      <c r="I36" s="27">
        <f t="shared" si="5"/>
        <v>-5460</v>
      </c>
      <c r="J36" s="27">
        <f t="shared" si="5"/>
        <v>-4670</v>
      </c>
      <c r="K36" s="27">
        <f t="shared" si="5"/>
        <v>-4380</v>
      </c>
      <c r="L36" s="27">
        <f t="shared" si="5"/>
        <v>-4020</v>
      </c>
      <c r="M36" s="27">
        <f t="shared" si="5"/>
        <v>-4510</v>
      </c>
      <c r="N36" s="28">
        <f t="shared" si="5"/>
        <v>-55840</v>
      </c>
    </row>
    <row r="38" spans="1:14" x14ac:dyDescent="0.35">
      <c r="A38" s="2" t="s">
        <v>44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35">
      <c r="A39" s="1" t="s">
        <v>52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35">
      <c r="A40" s="1" t="s">
        <v>53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35">
      <c r="A41" s="1" t="s">
        <v>54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35">
      <c r="A42" s="1" t="s">
        <v>55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35">
      <c r="A43" s="1" t="s">
        <v>56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</sheetData>
  <mergeCells count="21">
    <mergeCell ref="A39:N39"/>
    <mergeCell ref="A40:N40"/>
    <mergeCell ref="A41:N41"/>
    <mergeCell ref="A42:N42"/>
    <mergeCell ref="A43:N43"/>
    <mergeCell ref="A11:N11"/>
    <mergeCell ref="A17:N17"/>
    <mergeCell ref="A22:N22"/>
    <mergeCell ref="A28:N28"/>
    <mergeCell ref="A38:N38"/>
    <mergeCell ref="A1:N1"/>
    <mergeCell ref="A2:N2"/>
    <mergeCell ref="A4:N4"/>
    <mergeCell ref="A5:N5"/>
    <mergeCell ref="A7:A9"/>
    <mergeCell ref="B7:M7"/>
    <mergeCell ref="N7:N9"/>
    <mergeCell ref="B8:D8"/>
    <mergeCell ref="E8:G8"/>
    <mergeCell ref="H8:J8"/>
    <mergeCell ref="K8:M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3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ColWidth="8.6328125" defaultRowHeight="14.5" x14ac:dyDescent="0.35"/>
  <cols>
    <col min="1" max="1" width="36" customWidth="1"/>
    <col min="2" max="13" width="9" customWidth="1"/>
    <col min="14" max="14" width="12" customWidth="1"/>
  </cols>
  <sheetData>
    <row r="1" spans="1:14" ht="33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8" x14ac:dyDescent="0.35">
      <c r="A4" s="12" t="s">
        <v>57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35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7" spans="1:14" ht="21.75" customHeight="1" x14ac:dyDescent="0.35">
      <c r="A7" s="10" t="s">
        <v>4</v>
      </c>
      <c r="B7" s="9" t="s">
        <v>58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8" t="s">
        <v>59</v>
      </c>
    </row>
    <row r="8" spans="1:14" ht="19.5" customHeight="1" x14ac:dyDescent="0.35">
      <c r="A8" s="10"/>
      <c r="B8" s="7" t="s">
        <v>7</v>
      </c>
      <c r="C8" s="7"/>
      <c r="D8" s="7"/>
      <c r="E8" s="7" t="s">
        <v>8</v>
      </c>
      <c r="F8" s="7"/>
      <c r="G8" s="7"/>
      <c r="H8" s="7" t="s">
        <v>9</v>
      </c>
      <c r="I8" s="7"/>
      <c r="J8" s="7"/>
      <c r="K8" s="7" t="s">
        <v>10</v>
      </c>
      <c r="L8" s="7"/>
      <c r="M8" s="7"/>
      <c r="N8" s="8"/>
    </row>
    <row r="9" spans="1:14" ht="19.5" customHeight="1" x14ac:dyDescent="0.35">
      <c r="A9" s="10"/>
      <c r="B9" s="15" t="s">
        <v>11</v>
      </c>
      <c r="C9" s="15" t="s">
        <v>12</v>
      </c>
      <c r="D9" s="15" t="s">
        <v>13</v>
      </c>
      <c r="E9" s="15" t="s">
        <v>14</v>
      </c>
      <c r="F9" s="15" t="s">
        <v>15</v>
      </c>
      <c r="G9" s="15" t="s">
        <v>16</v>
      </c>
      <c r="H9" s="15" t="s">
        <v>17</v>
      </c>
      <c r="I9" s="15" t="s">
        <v>18</v>
      </c>
      <c r="J9" s="15" t="s">
        <v>19</v>
      </c>
      <c r="K9" s="15" t="s">
        <v>20</v>
      </c>
      <c r="L9" s="15" t="s">
        <v>21</v>
      </c>
      <c r="M9" s="15" t="s">
        <v>22</v>
      </c>
      <c r="N9" s="8"/>
    </row>
    <row r="11" spans="1:14" ht="21.75" customHeight="1" x14ac:dyDescent="0.35">
      <c r="A11" s="6" t="s">
        <v>23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5">
      <c r="A12" s="16" t="s">
        <v>24</v>
      </c>
      <c r="B12" s="17">
        <v>2200</v>
      </c>
      <c r="C12" s="17">
        <v>2150</v>
      </c>
      <c r="D12" s="17">
        <v>2500</v>
      </c>
      <c r="E12" s="17">
        <v>2820</v>
      </c>
      <c r="F12" s="17">
        <v>3250</v>
      </c>
      <c r="G12" s="17">
        <v>3460</v>
      </c>
      <c r="H12" s="17">
        <v>3620</v>
      </c>
      <c r="I12" s="17">
        <v>3550</v>
      </c>
      <c r="J12" s="17">
        <v>3050</v>
      </c>
      <c r="K12" s="17">
        <v>2730</v>
      </c>
      <c r="L12" s="17">
        <v>2510</v>
      </c>
      <c r="M12" s="17">
        <v>3100</v>
      </c>
      <c r="N12" s="18">
        <f>SUM(B12:M12)</f>
        <v>34940</v>
      </c>
    </row>
    <row r="13" spans="1:14" x14ac:dyDescent="0.35">
      <c r="A13" s="16" t="s">
        <v>25</v>
      </c>
      <c r="B13" s="17">
        <v>1780</v>
      </c>
      <c r="C13" s="17">
        <v>1720</v>
      </c>
      <c r="D13" s="17">
        <v>1940</v>
      </c>
      <c r="E13" s="17">
        <v>2160</v>
      </c>
      <c r="F13" s="17">
        <v>2410</v>
      </c>
      <c r="G13" s="17">
        <v>2520</v>
      </c>
      <c r="H13" s="17">
        <v>2630</v>
      </c>
      <c r="I13" s="17">
        <v>2570</v>
      </c>
      <c r="J13" s="17">
        <v>2260</v>
      </c>
      <c r="K13" s="17">
        <v>2150</v>
      </c>
      <c r="L13" s="17">
        <v>2050</v>
      </c>
      <c r="M13" s="17">
        <v>2520</v>
      </c>
      <c r="N13" s="18">
        <f>SUM(B13:M13)</f>
        <v>26710</v>
      </c>
    </row>
    <row r="14" spans="1:14" x14ac:dyDescent="0.35">
      <c r="A14" s="16" t="s">
        <v>26</v>
      </c>
      <c r="B14" s="17">
        <v>920</v>
      </c>
      <c r="C14" s="17">
        <v>900</v>
      </c>
      <c r="D14" s="17">
        <v>1030</v>
      </c>
      <c r="E14" s="17">
        <v>1130</v>
      </c>
      <c r="F14" s="17">
        <v>1240</v>
      </c>
      <c r="G14" s="17">
        <v>1300</v>
      </c>
      <c r="H14" s="17">
        <v>1280</v>
      </c>
      <c r="I14" s="17">
        <v>1265</v>
      </c>
      <c r="J14" s="17">
        <v>1170</v>
      </c>
      <c r="K14" s="17">
        <v>1100</v>
      </c>
      <c r="L14" s="17">
        <v>1060</v>
      </c>
      <c r="M14" s="17">
        <v>1350</v>
      </c>
      <c r="N14" s="18">
        <f>SUM(B14:M14)</f>
        <v>13745</v>
      </c>
    </row>
    <row r="15" spans="1:14" x14ac:dyDescent="0.35">
      <c r="A15" s="19" t="s">
        <v>27</v>
      </c>
      <c r="B15" s="20">
        <f t="shared" ref="B15:M15" si="0">SUM(B12:B14)</f>
        <v>4900</v>
      </c>
      <c r="C15" s="20">
        <f t="shared" si="0"/>
        <v>4770</v>
      </c>
      <c r="D15" s="20">
        <f t="shared" si="0"/>
        <v>5470</v>
      </c>
      <c r="E15" s="20">
        <f t="shared" si="0"/>
        <v>6110</v>
      </c>
      <c r="F15" s="20">
        <f t="shared" si="0"/>
        <v>6900</v>
      </c>
      <c r="G15" s="20">
        <f t="shared" si="0"/>
        <v>7280</v>
      </c>
      <c r="H15" s="20">
        <f t="shared" si="0"/>
        <v>7530</v>
      </c>
      <c r="I15" s="20">
        <f t="shared" si="0"/>
        <v>7385</v>
      </c>
      <c r="J15" s="20">
        <f t="shared" si="0"/>
        <v>6480</v>
      </c>
      <c r="K15" s="20">
        <f t="shared" si="0"/>
        <v>5980</v>
      </c>
      <c r="L15" s="20">
        <f t="shared" si="0"/>
        <v>5620</v>
      </c>
      <c r="M15" s="20">
        <f t="shared" si="0"/>
        <v>6970</v>
      </c>
      <c r="N15" s="20">
        <f>SUM(B15:M15)</f>
        <v>75395</v>
      </c>
    </row>
    <row r="17" spans="1:14" ht="21.75" customHeight="1" x14ac:dyDescent="0.35">
      <c r="A17" s="5" t="s">
        <v>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5">
      <c r="A18" s="16" t="s">
        <v>29</v>
      </c>
      <c r="B18" s="17">
        <v>605</v>
      </c>
      <c r="C18" s="17">
        <v>565</v>
      </c>
      <c r="D18" s="17">
        <v>545</v>
      </c>
      <c r="E18" s="17">
        <v>525</v>
      </c>
      <c r="F18" s="17">
        <v>495</v>
      </c>
      <c r="G18" s="17">
        <v>465</v>
      </c>
      <c r="H18" s="17">
        <v>435</v>
      </c>
      <c r="I18" s="17">
        <v>445</v>
      </c>
      <c r="J18" s="17">
        <v>515</v>
      </c>
      <c r="K18" s="17">
        <v>585</v>
      </c>
      <c r="L18" s="17">
        <v>645</v>
      </c>
      <c r="M18" s="17">
        <v>705</v>
      </c>
      <c r="N18" s="18">
        <f>SUM(B18:M18)</f>
        <v>6530</v>
      </c>
    </row>
    <row r="19" spans="1:14" x14ac:dyDescent="0.35">
      <c r="A19" s="16" t="s">
        <v>30</v>
      </c>
      <c r="B19" s="17">
        <v>305</v>
      </c>
      <c r="C19" s="17">
        <v>285</v>
      </c>
      <c r="D19" s="17">
        <v>275</v>
      </c>
      <c r="E19" s="17">
        <v>265</v>
      </c>
      <c r="F19" s="17">
        <v>245</v>
      </c>
      <c r="G19" s="17">
        <v>225</v>
      </c>
      <c r="H19" s="17">
        <v>215</v>
      </c>
      <c r="I19" s="17">
        <v>225</v>
      </c>
      <c r="J19" s="17">
        <v>265</v>
      </c>
      <c r="K19" s="17">
        <v>305</v>
      </c>
      <c r="L19" s="17">
        <v>335</v>
      </c>
      <c r="M19" s="17">
        <v>375</v>
      </c>
      <c r="N19" s="18">
        <f>SUM(B19:M19)</f>
        <v>3320</v>
      </c>
    </row>
    <row r="20" spans="1:14" x14ac:dyDescent="0.35">
      <c r="A20" s="19" t="s">
        <v>31</v>
      </c>
      <c r="B20" s="20">
        <f t="shared" ref="B20:M20" si="1">SUM(B18:B19)</f>
        <v>910</v>
      </c>
      <c r="C20" s="20">
        <f t="shared" si="1"/>
        <v>850</v>
      </c>
      <c r="D20" s="20">
        <f t="shared" si="1"/>
        <v>820</v>
      </c>
      <c r="E20" s="20">
        <f t="shared" si="1"/>
        <v>790</v>
      </c>
      <c r="F20" s="20">
        <f t="shared" si="1"/>
        <v>740</v>
      </c>
      <c r="G20" s="20">
        <f t="shared" si="1"/>
        <v>690</v>
      </c>
      <c r="H20" s="20">
        <f t="shared" si="1"/>
        <v>650</v>
      </c>
      <c r="I20" s="20">
        <f t="shared" si="1"/>
        <v>670</v>
      </c>
      <c r="J20" s="20">
        <f t="shared" si="1"/>
        <v>780</v>
      </c>
      <c r="K20" s="20">
        <f t="shared" si="1"/>
        <v>890</v>
      </c>
      <c r="L20" s="20">
        <f t="shared" si="1"/>
        <v>980</v>
      </c>
      <c r="M20" s="20">
        <f t="shared" si="1"/>
        <v>1080</v>
      </c>
      <c r="N20" s="20">
        <f>SUM(B20:M20)</f>
        <v>9850</v>
      </c>
    </row>
    <row r="22" spans="1:14" ht="21.75" customHeight="1" x14ac:dyDescent="0.35">
      <c r="A22" s="4" t="s">
        <v>32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5">
      <c r="A23" s="16" t="s">
        <v>33</v>
      </c>
      <c r="B23" s="17">
        <v>200</v>
      </c>
      <c r="C23" s="17">
        <v>190</v>
      </c>
      <c r="D23" s="17">
        <v>235</v>
      </c>
      <c r="E23" s="17">
        <v>270</v>
      </c>
      <c r="F23" s="17">
        <v>315</v>
      </c>
      <c r="G23" s="17">
        <v>350</v>
      </c>
      <c r="H23" s="17">
        <v>360</v>
      </c>
      <c r="I23" s="17">
        <v>350</v>
      </c>
      <c r="J23" s="17">
        <v>305</v>
      </c>
      <c r="K23" s="17">
        <v>260</v>
      </c>
      <c r="L23" s="17">
        <v>225</v>
      </c>
      <c r="M23" s="17">
        <v>280</v>
      </c>
      <c r="N23" s="18">
        <f>SUM(B23:M23)</f>
        <v>3340</v>
      </c>
    </row>
    <row r="24" spans="1:14" x14ac:dyDescent="0.35">
      <c r="A24" s="16" t="s">
        <v>34</v>
      </c>
      <c r="B24" s="17">
        <v>190</v>
      </c>
      <c r="C24" s="17">
        <v>180</v>
      </c>
      <c r="D24" s="17">
        <v>245</v>
      </c>
      <c r="E24" s="17">
        <v>330</v>
      </c>
      <c r="F24" s="17">
        <v>445</v>
      </c>
      <c r="G24" s="17">
        <v>540</v>
      </c>
      <c r="H24" s="17">
        <v>595</v>
      </c>
      <c r="I24" s="17">
        <v>575</v>
      </c>
      <c r="J24" s="17">
        <v>425</v>
      </c>
      <c r="K24" s="17">
        <v>295</v>
      </c>
      <c r="L24" s="17">
        <v>235</v>
      </c>
      <c r="M24" s="17">
        <v>255</v>
      </c>
      <c r="N24" s="18">
        <f>SUM(B24:M24)</f>
        <v>4310</v>
      </c>
    </row>
    <row r="25" spans="1:14" x14ac:dyDescent="0.35">
      <c r="A25" s="16" t="s">
        <v>60</v>
      </c>
      <c r="B25" s="17">
        <v>0</v>
      </c>
      <c r="C25" s="17">
        <v>0</v>
      </c>
      <c r="D25" s="17">
        <v>0</v>
      </c>
      <c r="E25" s="17">
        <v>0</v>
      </c>
      <c r="F25" s="17">
        <v>120</v>
      </c>
      <c r="G25" s="17">
        <v>180</v>
      </c>
      <c r="H25" s="17">
        <v>220</v>
      </c>
      <c r="I25" s="17">
        <v>215</v>
      </c>
      <c r="J25" s="17">
        <v>185</v>
      </c>
      <c r="K25" s="17">
        <v>155</v>
      </c>
      <c r="L25" s="17">
        <v>130</v>
      </c>
      <c r="M25" s="17">
        <v>175</v>
      </c>
      <c r="N25" s="18">
        <f>SUM(B25:M25)</f>
        <v>1380</v>
      </c>
    </row>
    <row r="26" spans="1:14" x14ac:dyDescent="0.35">
      <c r="A26" s="19" t="s">
        <v>36</v>
      </c>
      <c r="B26" s="20">
        <f t="shared" ref="B26:M26" si="2">SUM(B23:B25)</f>
        <v>390</v>
      </c>
      <c r="C26" s="20">
        <f t="shared" si="2"/>
        <v>370</v>
      </c>
      <c r="D26" s="20">
        <f t="shared" si="2"/>
        <v>480</v>
      </c>
      <c r="E26" s="20">
        <f t="shared" si="2"/>
        <v>600</v>
      </c>
      <c r="F26" s="20">
        <f t="shared" si="2"/>
        <v>880</v>
      </c>
      <c r="G26" s="20">
        <f t="shared" si="2"/>
        <v>1070</v>
      </c>
      <c r="H26" s="20">
        <f t="shared" si="2"/>
        <v>1175</v>
      </c>
      <c r="I26" s="20">
        <f t="shared" si="2"/>
        <v>1140</v>
      </c>
      <c r="J26" s="20">
        <f t="shared" si="2"/>
        <v>915</v>
      </c>
      <c r="K26" s="20">
        <f t="shared" si="2"/>
        <v>710</v>
      </c>
      <c r="L26" s="20">
        <f t="shared" si="2"/>
        <v>590</v>
      </c>
      <c r="M26" s="20">
        <f t="shared" si="2"/>
        <v>710</v>
      </c>
      <c r="N26" s="20">
        <f>SUM(B26:M26)</f>
        <v>9030</v>
      </c>
    </row>
    <row r="28" spans="1:14" ht="21.75" customHeight="1" x14ac:dyDescent="0.35">
      <c r="A28" s="3" t="s">
        <v>37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5">
      <c r="A29" s="16" t="s">
        <v>38</v>
      </c>
      <c r="B29" s="17">
        <v>370</v>
      </c>
      <c r="C29" s="17">
        <v>360</v>
      </c>
      <c r="D29" s="17">
        <v>415</v>
      </c>
      <c r="E29" s="17">
        <v>470</v>
      </c>
      <c r="F29" s="17">
        <v>530</v>
      </c>
      <c r="G29" s="17">
        <v>565</v>
      </c>
      <c r="H29" s="17">
        <v>590</v>
      </c>
      <c r="I29" s="17">
        <v>575</v>
      </c>
      <c r="J29" s="17">
        <v>510</v>
      </c>
      <c r="K29" s="17">
        <v>450</v>
      </c>
      <c r="L29" s="17">
        <v>415</v>
      </c>
      <c r="M29" s="17">
        <v>475</v>
      </c>
      <c r="N29" s="18">
        <f>SUM(B29:M29)</f>
        <v>5725</v>
      </c>
    </row>
    <row r="30" spans="1:14" x14ac:dyDescent="0.35">
      <c r="A30" s="16" t="s">
        <v>39</v>
      </c>
      <c r="B30" s="17">
        <v>100</v>
      </c>
      <c r="C30" s="17">
        <v>90</v>
      </c>
      <c r="D30" s="17">
        <v>145</v>
      </c>
      <c r="E30" s="17">
        <v>230</v>
      </c>
      <c r="F30" s="17">
        <v>355</v>
      </c>
      <c r="G30" s="17">
        <v>455</v>
      </c>
      <c r="H30" s="17">
        <v>520</v>
      </c>
      <c r="I30" s="17">
        <v>500</v>
      </c>
      <c r="J30" s="17">
        <v>320</v>
      </c>
      <c r="K30" s="17">
        <v>175</v>
      </c>
      <c r="L30" s="17">
        <v>110</v>
      </c>
      <c r="M30" s="17">
        <v>120</v>
      </c>
      <c r="N30" s="18">
        <f>SUM(B30:M30)</f>
        <v>3120</v>
      </c>
    </row>
    <row r="31" spans="1:14" x14ac:dyDescent="0.35">
      <c r="A31" s="19" t="s">
        <v>40</v>
      </c>
      <c r="B31" s="20">
        <f t="shared" ref="B31:M31" si="3">SUM(B29:B30)</f>
        <v>470</v>
      </c>
      <c r="C31" s="20">
        <f t="shared" si="3"/>
        <v>450</v>
      </c>
      <c r="D31" s="20">
        <f t="shared" si="3"/>
        <v>560</v>
      </c>
      <c r="E31" s="20">
        <f t="shared" si="3"/>
        <v>700</v>
      </c>
      <c r="F31" s="20">
        <f t="shared" si="3"/>
        <v>885</v>
      </c>
      <c r="G31" s="20">
        <f t="shared" si="3"/>
        <v>1020</v>
      </c>
      <c r="H31" s="20">
        <f t="shared" si="3"/>
        <v>1110</v>
      </c>
      <c r="I31" s="20">
        <f t="shared" si="3"/>
        <v>1075</v>
      </c>
      <c r="J31" s="20">
        <f t="shared" si="3"/>
        <v>830</v>
      </c>
      <c r="K31" s="20">
        <f t="shared" si="3"/>
        <v>625</v>
      </c>
      <c r="L31" s="20">
        <f t="shared" si="3"/>
        <v>525</v>
      </c>
      <c r="M31" s="20">
        <f t="shared" si="3"/>
        <v>595</v>
      </c>
      <c r="N31" s="20">
        <f>SUM(B31:M31)</f>
        <v>8845</v>
      </c>
    </row>
    <row r="33" spans="1:14" ht="21.75" customHeight="1" x14ac:dyDescent="0.35">
      <c r="A33" s="21" t="s">
        <v>41</v>
      </c>
      <c r="B33" s="22">
        <f t="shared" ref="B33:M33" si="4">B15+B20+B26+B31</f>
        <v>6670</v>
      </c>
      <c r="C33" s="22">
        <f t="shared" si="4"/>
        <v>6440</v>
      </c>
      <c r="D33" s="22">
        <f t="shared" si="4"/>
        <v>7330</v>
      </c>
      <c r="E33" s="22">
        <f t="shared" si="4"/>
        <v>8200</v>
      </c>
      <c r="F33" s="22">
        <f t="shared" si="4"/>
        <v>9405</v>
      </c>
      <c r="G33" s="22">
        <f t="shared" si="4"/>
        <v>10060</v>
      </c>
      <c r="H33" s="22">
        <f t="shared" si="4"/>
        <v>10465</v>
      </c>
      <c r="I33" s="22">
        <f t="shared" si="4"/>
        <v>10270</v>
      </c>
      <c r="J33" s="22">
        <f t="shared" si="4"/>
        <v>9005</v>
      </c>
      <c r="K33" s="22">
        <f t="shared" si="4"/>
        <v>8205</v>
      </c>
      <c r="L33" s="22">
        <f t="shared" si="4"/>
        <v>7715</v>
      </c>
      <c r="M33" s="22">
        <f t="shared" si="4"/>
        <v>9355</v>
      </c>
      <c r="N33" s="22">
        <f>SUM(B33:M33)</f>
        <v>103120</v>
      </c>
    </row>
    <row r="35" spans="1:14" x14ac:dyDescent="0.35">
      <c r="A35" s="23" t="s">
        <v>42</v>
      </c>
      <c r="B35" s="24">
        <v>11000</v>
      </c>
      <c r="C35" s="24">
        <v>10500</v>
      </c>
      <c r="D35" s="24">
        <v>11800</v>
      </c>
      <c r="E35" s="24">
        <v>13100</v>
      </c>
      <c r="F35" s="24">
        <v>14700</v>
      </c>
      <c r="G35" s="24">
        <v>15700</v>
      </c>
      <c r="H35" s="24">
        <v>16300</v>
      </c>
      <c r="I35" s="24">
        <v>16000</v>
      </c>
      <c r="J35" s="24">
        <v>13900</v>
      </c>
      <c r="K35" s="24">
        <v>12800</v>
      </c>
      <c r="L35" s="24">
        <v>12000</v>
      </c>
      <c r="M35" s="24">
        <v>14200</v>
      </c>
      <c r="N35" s="25">
        <f>SUM(B35:M35)</f>
        <v>162000</v>
      </c>
    </row>
    <row r="36" spans="1:14" x14ac:dyDescent="0.35">
      <c r="A36" s="26" t="s">
        <v>43</v>
      </c>
      <c r="B36" s="27">
        <f t="shared" ref="B36:N36" si="5">B33-B35</f>
        <v>-4330</v>
      </c>
      <c r="C36" s="27">
        <f t="shared" si="5"/>
        <v>-4060</v>
      </c>
      <c r="D36" s="27">
        <f t="shared" si="5"/>
        <v>-4470</v>
      </c>
      <c r="E36" s="27">
        <f t="shared" si="5"/>
        <v>-4900</v>
      </c>
      <c r="F36" s="27">
        <f t="shared" si="5"/>
        <v>-5295</v>
      </c>
      <c r="G36" s="27">
        <f t="shared" si="5"/>
        <v>-5640</v>
      </c>
      <c r="H36" s="27">
        <f t="shared" si="5"/>
        <v>-5835</v>
      </c>
      <c r="I36" s="27">
        <f t="shared" si="5"/>
        <v>-5730</v>
      </c>
      <c r="J36" s="27">
        <f t="shared" si="5"/>
        <v>-4895</v>
      </c>
      <c r="K36" s="27">
        <f t="shared" si="5"/>
        <v>-4595</v>
      </c>
      <c r="L36" s="27">
        <f t="shared" si="5"/>
        <v>-4285</v>
      </c>
      <c r="M36" s="27">
        <f t="shared" si="5"/>
        <v>-4845</v>
      </c>
      <c r="N36" s="28">
        <f t="shared" si="5"/>
        <v>-58880</v>
      </c>
    </row>
    <row r="38" spans="1:14" x14ac:dyDescent="0.35">
      <c r="A38" s="2" t="s">
        <v>44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35">
      <c r="A39" s="1" t="s">
        <v>61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35">
      <c r="A40" s="1" t="s">
        <v>62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35">
      <c r="A41" s="1" t="s">
        <v>63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35">
      <c r="A42" s="1" t="s">
        <v>64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35">
      <c r="A43" s="1" t="s">
        <v>65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</sheetData>
  <mergeCells count="21">
    <mergeCell ref="A39:N39"/>
    <mergeCell ref="A40:N40"/>
    <mergeCell ref="A41:N41"/>
    <mergeCell ref="A42:N42"/>
    <mergeCell ref="A43:N43"/>
    <mergeCell ref="A11:N11"/>
    <mergeCell ref="A17:N17"/>
    <mergeCell ref="A22:N22"/>
    <mergeCell ref="A28:N28"/>
    <mergeCell ref="A38:N38"/>
    <mergeCell ref="A1:N1"/>
    <mergeCell ref="A2:N2"/>
    <mergeCell ref="A4:N4"/>
    <mergeCell ref="A5:N5"/>
    <mergeCell ref="A7:A9"/>
    <mergeCell ref="B7:M7"/>
    <mergeCell ref="N7:N9"/>
    <mergeCell ref="B8:D8"/>
    <mergeCell ref="E8:G8"/>
    <mergeCell ref="H8:J8"/>
    <mergeCell ref="K8:M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4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ColWidth="8.6328125" defaultRowHeight="14.5" x14ac:dyDescent="0.35"/>
  <cols>
    <col min="1" max="1" width="36" customWidth="1"/>
    <col min="2" max="13" width="9" customWidth="1"/>
    <col min="14" max="14" width="12" customWidth="1"/>
  </cols>
  <sheetData>
    <row r="1" spans="1:14" ht="33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8" x14ac:dyDescent="0.35">
      <c r="A4" s="12" t="s">
        <v>66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35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7" spans="1:14" ht="21.75" customHeight="1" x14ac:dyDescent="0.35">
      <c r="A7" s="10" t="s">
        <v>4</v>
      </c>
      <c r="B7" s="9" t="s">
        <v>67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8" t="s">
        <v>68</v>
      </c>
    </row>
    <row r="8" spans="1:14" ht="19.5" customHeight="1" x14ac:dyDescent="0.35">
      <c r="A8" s="10"/>
      <c r="B8" s="7" t="s">
        <v>7</v>
      </c>
      <c r="C8" s="7"/>
      <c r="D8" s="7"/>
      <c r="E8" s="7" t="s">
        <v>8</v>
      </c>
      <c r="F8" s="7"/>
      <c r="G8" s="7"/>
      <c r="H8" s="7" t="s">
        <v>9</v>
      </c>
      <c r="I8" s="7"/>
      <c r="J8" s="7"/>
      <c r="K8" s="7" t="s">
        <v>10</v>
      </c>
      <c r="L8" s="7"/>
      <c r="M8" s="7"/>
      <c r="N8" s="8"/>
    </row>
    <row r="9" spans="1:14" ht="19.5" customHeight="1" x14ac:dyDescent="0.35">
      <c r="A9" s="10"/>
      <c r="B9" s="15" t="s">
        <v>11</v>
      </c>
      <c r="C9" s="15" t="s">
        <v>12</v>
      </c>
      <c r="D9" s="15" t="s">
        <v>13</v>
      </c>
      <c r="E9" s="15" t="s">
        <v>14</v>
      </c>
      <c r="F9" s="15" t="s">
        <v>15</v>
      </c>
      <c r="G9" s="15" t="s">
        <v>16</v>
      </c>
      <c r="H9" s="15" t="s">
        <v>17</v>
      </c>
      <c r="I9" s="15" t="s">
        <v>18</v>
      </c>
      <c r="J9" s="15" t="s">
        <v>19</v>
      </c>
      <c r="K9" s="15" t="s">
        <v>20</v>
      </c>
      <c r="L9" s="15" t="s">
        <v>21</v>
      </c>
      <c r="M9" s="15" t="s">
        <v>22</v>
      </c>
      <c r="N9" s="8"/>
    </row>
    <row r="11" spans="1:14" ht="21.75" customHeight="1" x14ac:dyDescent="0.35">
      <c r="A11" s="6" t="s">
        <v>23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5">
      <c r="A12" s="16" t="s">
        <v>24</v>
      </c>
      <c r="B12" s="17">
        <v>2310</v>
      </c>
      <c r="C12" s="17">
        <v>2260</v>
      </c>
      <c r="D12" s="17">
        <v>2620</v>
      </c>
      <c r="E12" s="17">
        <v>2960</v>
      </c>
      <c r="F12" s="17">
        <v>3410</v>
      </c>
      <c r="G12" s="17"/>
      <c r="H12" s="17"/>
      <c r="I12" s="17"/>
      <c r="J12" s="17"/>
      <c r="K12" s="17"/>
      <c r="L12" s="17"/>
      <c r="M12" s="17"/>
      <c r="N12" s="18">
        <f>SUM(B12:M12)</f>
        <v>13560</v>
      </c>
    </row>
    <row r="13" spans="1:14" x14ac:dyDescent="0.35">
      <c r="A13" s="16" t="s">
        <v>25</v>
      </c>
      <c r="B13" s="17">
        <v>1870</v>
      </c>
      <c r="C13" s="17">
        <v>1810</v>
      </c>
      <c r="D13" s="17">
        <v>2040</v>
      </c>
      <c r="E13" s="17">
        <v>2270</v>
      </c>
      <c r="F13" s="17">
        <v>2530</v>
      </c>
      <c r="G13" s="17"/>
      <c r="H13" s="17"/>
      <c r="I13" s="17"/>
      <c r="J13" s="17"/>
      <c r="K13" s="17"/>
      <c r="L13" s="17"/>
      <c r="M13" s="17"/>
      <c r="N13" s="18">
        <f>SUM(B13:M13)</f>
        <v>10520</v>
      </c>
    </row>
    <row r="14" spans="1:14" x14ac:dyDescent="0.35">
      <c r="A14" s="16" t="s">
        <v>26</v>
      </c>
      <c r="B14" s="17">
        <v>990</v>
      </c>
      <c r="C14" s="17">
        <v>970</v>
      </c>
      <c r="D14" s="17">
        <v>1110</v>
      </c>
      <c r="E14" s="17">
        <v>1220</v>
      </c>
      <c r="F14" s="17">
        <v>1340</v>
      </c>
      <c r="G14" s="17"/>
      <c r="H14" s="17"/>
      <c r="I14" s="17"/>
      <c r="J14" s="17"/>
      <c r="K14" s="17"/>
      <c r="L14" s="17"/>
      <c r="M14" s="17"/>
      <c r="N14" s="18">
        <f>SUM(B14:M14)</f>
        <v>5630</v>
      </c>
    </row>
    <row r="15" spans="1:14" x14ac:dyDescent="0.35">
      <c r="A15" s="19" t="s">
        <v>27</v>
      </c>
      <c r="B15" s="20">
        <f t="shared" ref="B15:M15" si="0">SUM(B12:B14)</f>
        <v>5170</v>
      </c>
      <c r="C15" s="20">
        <f t="shared" si="0"/>
        <v>5040</v>
      </c>
      <c r="D15" s="20">
        <f t="shared" si="0"/>
        <v>5770</v>
      </c>
      <c r="E15" s="20">
        <f t="shared" si="0"/>
        <v>6450</v>
      </c>
      <c r="F15" s="20">
        <f t="shared" si="0"/>
        <v>7280</v>
      </c>
      <c r="G15" s="20">
        <f t="shared" si="0"/>
        <v>0</v>
      </c>
      <c r="H15" s="20">
        <f t="shared" si="0"/>
        <v>0</v>
      </c>
      <c r="I15" s="20">
        <f t="shared" si="0"/>
        <v>0</v>
      </c>
      <c r="J15" s="20">
        <f t="shared" si="0"/>
        <v>0</v>
      </c>
      <c r="K15" s="20">
        <f t="shared" si="0"/>
        <v>0</v>
      </c>
      <c r="L15" s="20">
        <f t="shared" si="0"/>
        <v>0</v>
      </c>
      <c r="M15" s="20">
        <f t="shared" si="0"/>
        <v>0</v>
      </c>
      <c r="N15" s="20">
        <f>SUM(B15:M15)</f>
        <v>29710</v>
      </c>
    </row>
    <row r="17" spans="1:14" ht="21.75" customHeight="1" x14ac:dyDescent="0.35">
      <c r="A17" s="5" t="s">
        <v>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5">
      <c r="A18" s="16" t="s">
        <v>29</v>
      </c>
      <c r="B18" s="17">
        <v>595</v>
      </c>
      <c r="C18" s="17">
        <v>555</v>
      </c>
      <c r="D18" s="17">
        <v>535</v>
      </c>
      <c r="E18" s="17">
        <v>515</v>
      </c>
      <c r="F18" s="17">
        <v>485</v>
      </c>
      <c r="G18" s="17"/>
      <c r="H18" s="17"/>
      <c r="I18" s="17"/>
      <c r="J18" s="17"/>
      <c r="K18" s="17"/>
      <c r="L18" s="17"/>
      <c r="M18" s="17"/>
      <c r="N18" s="18">
        <f>SUM(B18:M18)</f>
        <v>2685</v>
      </c>
    </row>
    <row r="19" spans="1:14" x14ac:dyDescent="0.35">
      <c r="A19" s="16" t="s">
        <v>30</v>
      </c>
      <c r="B19" s="17">
        <v>295</v>
      </c>
      <c r="C19" s="17">
        <v>275</v>
      </c>
      <c r="D19" s="17">
        <v>265</v>
      </c>
      <c r="E19" s="17">
        <v>255</v>
      </c>
      <c r="F19" s="17">
        <v>235</v>
      </c>
      <c r="G19" s="17"/>
      <c r="H19" s="17"/>
      <c r="I19" s="17"/>
      <c r="J19" s="17"/>
      <c r="K19" s="17"/>
      <c r="L19" s="17"/>
      <c r="M19" s="17"/>
      <c r="N19" s="18">
        <f>SUM(B19:M19)</f>
        <v>1325</v>
      </c>
    </row>
    <row r="20" spans="1:14" x14ac:dyDescent="0.35">
      <c r="A20" s="19" t="s">
        <v>31</v>
      </c>
      <c r="B20" s="20">
        <f t="shared" ref="B20:M20" si="1">SUM(B18:B19)</f>
        <v>890</v>
      </c>
      <c r="C20" s="20">
        <f t="shared" si="1"/>
        <v>830</v>
      </c>
      <c r="D20" s="20">
        <f t="shared" si="1"/>
        <v>800</v>
      </c>
      <c r="E20" s="20">
        <f t="shared" si="1"/>
        <v>770</v>
      </c>
      <c r="F20" s="20">
        <f t="shared" si="1"/>
        <v>720</v>
      </c>
      <c r="G20" s="20">
        <f t="shared" si="1"/>
        <v>0</v>
      </c>
      <c r="H20" s="20">
        <f t="shared" si="1"/>
        <v>0</v>
      </c>
      <c r="I20" s="20">
        <f t="shared" si="1"/>
        <v>0</v>
      </c>
      <c r="J20" s="20">
        <f t="shared" si="1"/>
        <v>0</v>
      </c>
      <c r="K20" s="20">
        <f t="shared" si="1"/>
        <v>0</v>
      </c>
      <c r="L20" s="20">
        <f t="shared" si="1"/>
        <v>0</v>
      </c>
      <c r="M20" s="20">
        <f t="shared" si="1"/>
        <v>0</v>
      </c>
      <c r="N20" s="20">
        <f>SUM(B20:M20)</f>
        <v>4010</v>
      </c>
    </row>
    <row r="22" spans="1:14" ht="21.75" customHeight="1" x14ac:dyDescent="0.35">
      <c r="A22" s="4" t="s">
        <v>32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5">
      <c r="A23" s="16" t="s">
        <v>33</v>
      </c>
      <c r="B23" s="17">
        <v>225</v>
      </c>
      <c r="C23" s="17">
        <v>215</v>
      </c>
      <c r="D23" s="17">
        <v>265</v>
      </c>
      <c r="E23" s="17">
        <v>305</v>
      </c>
      <c r="F23" s="17">
        <v>355</v>
      </c>
      <c r="G23" s="17"/>
      <c r="H23" s="17"/>
      <c r="I23" s="17"/>
      <c r="J23" s="17"/>
      <c r="K23" s="17"/>
      <c r="L23" s="17"/>
      <c r="M23" s="17"/>
      <c r="N23" s="18">
        <f>SUM(B23:M23)</f>
        <v>1365</v>
      </c>
    </row>
    <row r="24" spans="1:14" x14ac:dyDescent="0.35">
      <c r="A24" s="16" t="s">
        <v>34</v>
      </c>
      <c r="B24" s="17">
        <v>200</v>
      </c>
      <c r="C24" s="17">
        <v>190</v>
      </c>
      <c r="D24" s="17">
        <v>260</v>
      </c>
      <c r="E24" s="17">
        <v>350</v>
      </c>
      <c r="F24" s="17">
        <v>470</v>
      </c>
      <c r="G24" s="17"/>
      <c r="H24" s="17"/>
      <c r="I24" s="17"/>
      <c r="J24" s="17"/>
      <c r="K24" s="17"/>
      <c r="L24" s="17"/>
      <c r="M24" s="17"/>
      <c r="N24" s="18">
        <f>SUM(B24:M24)</f>
        <v>1470</v>
      </c>
    </row>
    <row r="25" spans="1:14" x14ac:dyDescent="0.35">
      <c r="A25" s="16" t="s">
        <v>69</v>
      </c>
      <c r="B25" s="17">
        <v>180</v>
      </c>
      <c r="C25" s="17">
        <v>175</v>
      </c>
      <c r="D25" s="17">
        <v>220</v>
      </c>
      <c r="E25" s="17">
        <v>270</v>
      </c>
      <c r="F25" s="17">
        <v>310</v>
      </c>
      <c r="G25" s="17"/>
      <c r="H25" s="17"/>
      <c r="I25" s="17"/>
      <c r="J25" s="17"/>
      <c r="K25" s="17"/>
      <c r="L25" s="17"/>
      <c r="M25" s="17"/>
      <c r="N25" s="18">
        <f>SUM(B25:M25)</f>
        <v>1155</v>
      </c>
    </row>
    <row r="26" spans="1:14" x14ac:dyDescent="0.35">
      <c r="A26" s="19" t="s">
        <v>36</v>
      </c>
      <c r="B26" s="20">
        <f t="shared" ref="B26:M26" si="2">SUM(B23:B25)</f>
        <v>605</v>
      </c>
      <c r="C26" s="20">
        <f t="shared" si="2"/>
        <v>580</v>
      </c>
      <c r="D26" s="20">
        <f t="shared" si="2"/>
        <v>745</v>
      </c>
      <c r="E26" s="20">
        <f t="shared" si="2"/>
        <v>925</v>
      </c>
      <c r="F26" s="20">
        <f t="shared" si="2"/>
        <v>1135</v>
      </c>
      <c r="G26" s="20">
        <f t="shared" si="2"/>
        <v>0</v>
      </c>
      <c r="H26" s="20">
        <f t="shared" si="2"/>
        <v>0</v>
      </c>
      <c r="I26" s="20">
        <f t="shared" si="2"/>
        <v>0</v>
      </c>
      <c r="J26" s="20">
        <f t="shared" si="2"/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>SUM(B26:M26)</f>
        <v>3990</v>
      </c>
    </row>
    <row r="28" spans="1:14" ht="21.75" customHeight="1" x14ac:dyDescent="0.35">
      <c r="A28" s="3" t="s">
        <v>37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5">
      <c r="A29" s="16" t="s">
        <v>38</v>
      </c>
      <c r="B29" s="17">
        <v>425</v>
      </c>
      <c r="C29" s="17">
        <v>415</v>
      </c>
      <c r="D29" s="17">
        <v>480</v>
      </c>
      <c r="E29" s="17">
        <v>540</v>
      </c>
      <c r="F29" s="17">
        <v>610</v>
      </c>
      <c r="G29" s="17"/>
      <c r="H29" s="17"/>
      <c r="I29" s="17"/>
      <c r="J29" s="17"/>
      <c r="K29" s="17"/>
      <c r="L29" s="17"/>
      <c r="M29" s="17"/>
      <c r="N29" s="18">
        <f>SUM(B29:M29)</f>
        <v>2470</v>
      </c>
    </row>
    <row r="30" spans="1:14" x14ac:dyDescent="0.35">
      <c r="A30" s="16" t="s">
        <v>39</v>
      </c>
      <c r="B30" s="17">
        <v>110</v>
      </c>
      <c r="C30" s="17">
        <v>100</v>
      </c>
      <c r="D30" s="17">
        <v>165</v>
      </c>
      <c r="E30" s="17">
        <v>265</v>
      </c>
      <c r="F30" s="17">
        <v>405</v>
      </c>
      <c r="G30" s="17"/>
      <c r="H30" s="17"/>
      <c r="I30" s="17"/>
      <c r="J30" s="17"/>
      <c r="K30" s="17"/>
      <c r="L30" s="17"/>
      <c r="M30" s="17"/>
      <c r="N30" s="18">
        <f>SUM(B30:M30)</f>
        <v>1045</v>
      </c>
    </row>
    <row r="31" spans="1:14" x14ac:dyDescent="0.35">
      <c r="A31" s="19" t="s">
        <v>40</v>
      </c>
      <c r="B31" s="20">
        <f t="shared" ref="B31:M31" si="3">SUM(B29:B30)</f>
        <v>535</v>
      </c>
      <c r="C31" s="20">
        <f t="shared" si="3"/>
        <v>515</v>
      </c>
      <c r="D31" s="20">
        <f t="shared" si="3"/>
        <v>645</v>
      </c>
      <c r="E31" s="20">
        <f t="shared" si="3"/>
        <v>805</v>
      </c>
      <c r="F31" s="20">
        <f t="shared" si="3"/>
        <v>1015</v>
      </c>
      <c r="G31" s="20">
        <f t="shared" si="3"/>
        <v>0</v>
      </c>
      <c r="H31" s="20">
        <f t="shared" si="3"/>
        <v>0</v>
      </c>
      <c r="I31" s="20">
        <f t="shared" si="3"/>
        <v>0</v>
      </c>
      <c r="J31" s="20">
        <f t="shared" si="3"/>
        <v>0</v>
      </c>
      <c r="K31" s="20">
        <f t="shared" si="3"/>
        <v>0</v>
      </c>
      <c r="L31" s="20">
        <f t="shared" si="3"/>
        <v>0</v>
      </c>
      <c r="M31" s="20">
        <f t="shared" si="3"/>
        <v>0</v>
      </c>
      <c r="N31" s="20">
        <f>SUM(B31:M31)</f>
        <v>3515</v>
      </c>
    </row>
    <row r="33" spans="1:14" ht="21.75" customHeight="1" x14ac:dyDescent="0.35">
      <c r="A33" s="21" t="s">
        <v>41</v>
      </c>
      <c r="B33" s="22">
        <f t="shared" ref="B33:M33" si="4">B15+B20+B26+B31</f>
        <v>7200</v>
      </c>
      <c r="C33" s="22">
        <f t="shared" si="4"/>
        <v>6965</v>
      </c>
      <c r="D33" s="22">
        <f t="shared" si="4"/>
        <v>7960</v>
      </c>
      <c r="E33" s="22">
        <f t="shared" si="4"/>
        <v>8950</v>
      </c>
      <c r="F33" s="22">
        <f t="shared" si="4"/>
        <v>10150</v>
      </c>
      <c r="G33" s="22">
        <f t="shared" si="4"/>
        <v>0</v>
      </c>
      <c r="H33" s="22">
        <f t="shared" si="4"/>
        <v>0</v>
      </c>
      <c r="I33" s="22">
        <f t="shared" si="4"/>
        <v>0</v>
      </c>
      <c r="J33" s="22">
        <f t="shared" si="4"/>
        <v>0</v>
      </c>
      <c r="K33" s="22">
        <f t="shared" si="4"/>
        <v>0</v>
      </c>
      <c r="L33" s="22">
        <f t="shared" si="4"/>
        <v>0</v>
      </c>
      <c r="M33" s="22">
        <f t="shared" si="4"/>
        <v>0</v>
      </c>
      <c r="N33" s="22">
        <f>SUM(B33:M33)</f>
        <v>41225</v>
      </c>
    </row>
    <row r="35" spans="1:14" x14ac:dyDescent="0.35">
      <c r="A35" s="23" t="s">
        <v>42</v>
      </c>
      <c r="B35" s="24">
        <v>11500</v>
      </c>
      <c r="C35" s="24">
        <v>11000</v>
      </c>
      <c r="D35" s="24">
        <v>12400</v>
      </c>
      <c r="E35" s="24">
        <v>13800</v>
      </c>
      <c r="F35" s="24">
        <v>15400</v>
      </c>
      <c r="G35" s="24">
        <v>16500</v>
      </c>
      <c r="H35" s="24">
        <v>17100</v>
      </c>
      <c r="I35" s="24">
        <v>16800</v>
      </c>
      <c r="J35" s="24">
        <v>14600</v>
      </c>
      <c r="K35" s="24">
        <v>13400</v>
      </c>
      <c r="L35" s="24">
        <v>12600</v>
      </c>
      <c r="M35" s="24">
        <v>14900</v>
      </c>
      <c r="N35" s="25">
        <f>SUM(B35:M35)</f>
        <v>170000</v>
      </c>
    </row>
    <row r="36" spans="1:14" x14ac:dyDescent="0.35">
      <c r="A36" s="26" t="s">
        <v>43</v>
      </c>
      <c r="B36" s="27">
        <f t="shared" ref="B36:N36" si="5">B33-B35</f>
        <v>-4300</v>
      </c>
      <c r="C36" s="27">
        <f t="shared" si="5"/>
        <v>-4035</v>
      </c>
      <c r="D36" s="27">
        <f t="shared" si="5"/>
        <v>-4440</v>
      </c>
      <c r="E36" s="27">
        <f t="shared" si="5"/>
        <v>-4850</v>
      </c>
      <c r="F36" s="27">
        <f t="shared" si="5"/>
        <v>-5250</v>
      </c>
      <c r="G36" s="27">
        <f t="shared" si="5"/>
        <v>-16500</v>
      </c>
      <c r="H36" s="27">
        <f t="shared" si="5"/>
        <v>-17100</v>
      </c>
      <c r="I36" s="27">
        <f t="shared" si="5"/>
        <v>-16800</v>
      </c>
      <c r="J36" s="27">
        <f t="shared" si="5"/>
        <v>-14600</v>
      </c>
      <c r="K36" s="27">
        <f t="shared" si="5"/>
        <v>-13400</v>
      </c>
      <c r="L36" s="27">
        <f t="shared" si="5"/>
        <v>-12600</v>
      </c>
      <c r="M36" s="27">
        <f t="shared" si="5"/>
        <v>-14900</v>
      </c>
      <c r="N36" s="28">
        <f t="shared" si="5"/>
        <v>-128775</v>
      </c>
    </row>
    <row r="38" spans="1:14" x14ac:dyDescent="0.35">
      <c r="A38" s="2" t="s">
        <v>44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35">
      <c r="A39" s="1" t="s">
        <v>70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35">
      <c r="A40" s="1" t="s">
        <v>71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35">
      <c r="A41" s="1" t="s">
        <v>72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35">
      <c r="A42" s="1" t="s">
        <v>73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35">
      <c r="A43" s="1" t="s">
        <v>74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customHeight="1" x14ac:dyDescent="0.35">
      <c r="A44" s="1" t="s">
        <v>75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</sheetData>
  <mergeCells count="22">
    <mergeCell ref="A44:N44"/>
    <mergeCell ref="A39:N39"/>
    <mergeCell ref="A40:N40"/>
    <mergeCell ref="A41:N41"/>
    <mergeCell ref="A42:N42"/>
    <mergeCell ref="A43:N43"/>
    <mergeCell ref="A11:N11"/>
    <mergeCell ref="A17:N17"/>
    <mergeCell ref="A22:N22"/>
    <mergeCell ref="A28:N28"/>
    <mergeCell ref="A38:N38"/>
    <mergeCell ref="A1:N1"/>
    <mergeCell ref="A2:N2"/>
    <mergeCell ref="A4:N4"/>
    <mergeCell ref="A5:N5"/>
    <mergeCell ref="A7:A9"/>
    <mergeCell ref="B7:M7"/>
    <mergeCell ref="N7:N9"/>
    <mergeCell ref="B8:D8"/>
    <mergeCell ref="E8:G8"/>
    <mergeCell ref="H8:J8"/>
    <mergeCell ref="K8:M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Sales 2023</vt:lpstr>
      <vt:lpstr>Sales 2024</vt:lpstr>
      <vt:lpstr>Sales 2025</vt:lpstr>
      <vt:lpstr>Sales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Tenner</cp:lastModifiedBy>
  <cp:revision>0</cp:revision>
  <dcterms:created xsi:type="dcterms:W3CDTF">2026-05-20T08:51:33Z</dcterms:created>
  <dcterms:modified xsi:type="dcterms:W3CDTF">2026-05-20T08:54:27Z</dcterms:modified>
  <dc:language>en-US</dc:language>
</cp:coreProperties>
</file>